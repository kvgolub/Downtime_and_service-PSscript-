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-120" yWindow="-120" windowWidth="25440" windowHeight="15390" tabRatio="873" firstSheet="1" activeTab="1"/>
  </bookViews>
  <sheets>
    <sheet name="Установочные" sheetId="23" state="hidden" r:id="rId1"/>
    <sheet name="Рейтинг" sheetId="13" r:id="rId2"/>
    <sheet name="Источник Рейтинг" sheetId="10" state="hidden" r:id="rId3"/>
    <sheet name="ФС" sheetId="1" r:id="rId4"/>
    <sheet name="Источник ФС" sheetId="14" state="hidden" r:id="rId5"/>
    <sheet name="ОП" sheetId="15" state="hidden" r:id="rId6"/>
    <sheet name="1.1. Операторы (1С, Все ТА)" sheetId="17" state="hidden" r:id="rId7"/>
    <sheet name="1.2. Операторы (1С, КУ)" sheetId="22" state="hidden" r:id="rId8"/>
    <sheet name="2. Техники (1С)" sheetId="16" state="hidden" r:id="rId9"/>
    <sheet name="3. % потерянной выручки (1С)" sheetId="21" state="hidden" r:id="rId10"/>
    <sheet name="4. Кол-во ТА (1С)" sheetId="20" state="hidden" r:id="rId11"/>
    <sheet name="5. ТА без связи (Вин)" sheetId="18" state="hidden" r:id="rId12"/>
    <sheet name="6. Простои (Вин)" sheetId="19" state="hidden" r:id="rId13"/>
  </sheets>
  <definedNames>
    <definedName name="_FilterDatabase" localSheetId="6" hidden="1">'1.1. Операторы (1С, Все ТА)'!$A$2:$G$2</definedName>
    <definedName name="_FilterDatabase" localSheetId="7" hidden="1">'1.2. Операторы (1С, КУ)'!$A$2:$G$2</definedName>
    <definedName name="_FilterDatabase" localSheetId="8" hidden="1">'2. Техники (1С)'!$A$2:$E$2</definedName>
    <definedName name="_FilterDatabase" localSheetId="9" hidden="1">'3. % потерянной выручки (1С)'!$A$2:$D$2</definedName>
    <definedName name="_FilterDatabase" localSheetId="10" hidden="1">'4. Кол-во ТА (1С)'!$A$2:$E$2</definedName>
    <definedName name="_FilterDatabase" localSheetId="11" hidden="1">'5. ТА без связи (Вин)'!$A$2:$D$2</definedName>
    <definedName name="_FilterDatabase" localSheetId="12" hidden="1">'6. Простои (Вин)'!$A$2:$D$2</definedName>
    <definedName name="_FilterDatabase" localSheetId="2" hidden="1">'Источник Рейтинг'!$A$2:$AI$3</definedName>
    <definedName name="_xlnm._FilterDatabase" localSheetId="2" hidden="1">'Источник Рейтинг'!$A$3:$AC$3</definedName>
    <definedName name="ОП">ОП!$B$2:$B$15</definedName>
  </definedName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9" i="19" l="1"/>
  <c r="A68" i="19"/>
  <c r="A67" i="19"/>
  <c r="A66" i="19"/>
  <c r="A65" i="19"/>
  <c r="A64" i="19"/>
  <c r="A63" i="19"/>
  <c r="A62" i="19"/>
  <c r="A61" i="19"/>
  <c r="A60" i="19"/>
  <c r="A59" i="19"/>
  <c r="A58" i="19"/>
  <c r="A57" i="19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41" i="16"/>
  <c r="A40" i="16"/>
  <c r="A39" i="16"/>
  <c r="A38" i="16"/>
  <c r="A37" i="16"/>
  <c r="A36" i="16"/>
  <c r="A35" i="16"/>
  <c r="A34" i="16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X75" i="10" l="1"/>
  <c r="R75" i="10"/>
  <c r="F75" i="10"/>
  <c r="A75" i="10"/>
  <c r="L75" i="10" s="1"/>
  <c r="F74" i="10"/>
  <c r="A74" i="10"/>
  <c r="AB74" i="10" s="1"/>
  <c r="Q73" i="10"/>
  <c r="P73" i="10" s="1"/>
  <c r="F73" i="10"/>
  <c r="A73" i="10"/>
  <c r="AC73" i="10" s="1"/>
  <c r="W72" i="10"/>
  <c r="V72" i="10" s="1"/>
  <c r="S72" i="10"/>
  <c r="M72" i="10"/>
  <c r="F72" i="10"/>
  <c r="A72" i="10"/>
  <c r="Z72" i="10" s="1"/>
  <c r="AB71" i="10"/>
  <c r="W71" i="10"/>
  <c r="V71" i="10" s="1"/>
  <c r="N71" i="10"/>
  <c r="F71" i="10"/>
  <c r="A71" i="10"/>
  <c r="AC71" i="10" s="1"/>
  <c r="D71" i="10" s="1"/>
  <c r="F70" i="10"/>
  <c r="A70" i="10"/>
  <c r="AC70" i="10" s="1"/>
  <c r="AB69" i="10"/>
  <c r="AA69" i="10"/>
  <c r="G69" i="10" s="1"/>
  <c r="W69" i="10"/>
  <c r="V69" i="10" s="1"/>
  <c r="U69" i="10"/>
  <c r="Q69" i="10"/>
  <c r="P69" i="10" s="1"/>
  <c r="N69" i="10"/>
  <c r="L69" i="10"/>
  <c r="F69" i="10"/>
  <c r="A69" i="10"/>
  <c r="AC69" i="10" s="1"/>
  <c r="F68" i="10"/>
  <c r="A68" i="10"/>
  <c r="Y68" i="10" s="1"/>
  <c r="F67" i="10"/>
  <c r="A67" i="10"/>
  <c r="AB67" i="10" s="1"/>
  <c r="AC66" i="10"/>
  <c r="O66" i="10"/>
  <c r="F66" i="10"/>
  <c r="A66" i="10"/>
  <c r="Z66" i="10" s="1"/>
  <c r="AA65" i="10"/>
  <c r="G65" i="10" s="1"/>
  <c r="U65" i="10"/>
  <c r="N65" i="10"/>
  <c r="F65" i="10"/>
  <c r="A65" i="10"/>
  <c r="AC65" i="10" s="1"/>
  <c r="F64" i="10"/>
  <c r="A64" i="10"/>
  <c r="Y64" i="10" s="1"/>
  <c r="F63" i="10"/>
  <c r="A63" i="10"/>
  <c r="Y63" i="10" s="1"/>
  <c r="AC62" i="10"/>
  <c r="F62" i="10"/>
  <c r="A62" i="10"/>
  <c r="AA62" i="10" s="1"/>
  <c r="O70" i="10" l="1"/>
  <c r="AA70" i="10"/>
  <c r="L63" i="10"/>
  <c r="L65" i="10"/>
  <c r="Q65" i="10"/>
  <c r="P65" i="10" s="1"/>
  <c r="J65" i="10" s="1"/>
  <c r="W65" i="10"/>
  <c r="V65" i="10" s="1"/>
  <c r="AA66" i="10"/>
  <c r="G66" i="10" s="1"/>
  <c r="L67" i="10"/>
  <c r="AC67" i="10"/>
  <c r="D67" i="10" s="1"/>
  <c r="J69" i="10"/>
  <c r="U70" i="10"/>
  <c r="T71" i="10"/>
  <c r="Q72" i="10"/>
  <c r="AB72" i="10"/>
  <c r="L73" i="10"/>
  <c r="Z73" i="10"/>
  <c r="S63" i="10"/>
  <c r="M65" i="10"/>
  <c r="S65" i="10"/>
  <c r="I65" i="10" s="1"/>
  <c r="Z65" i="10"/>
  <c r="S67" i="10"/>
  <c r="M70" i="10"/>
  <c r="Z70" i="10"/>
  <c r="M73" i="10"/>
  <c r="AA73" i="10"/>
  <c r="W67" i="10"/>
  <c r="V67" i="10" s="1"/>
  <c r="AB65" i="10"/>
  <c r="D65" i="10" s="1"/>
  <c r="U66" i="10"/>
  <c r="Y67" i="10"/>
  <c r="D69" i="10"/>
  <c r="M69" i="10"/>
  <c r="S69" i="10"/>
  <c r="I69" i="10" s="1"/>
  <c r="Z69" i="10"/>
  <c r="T70" i="10"/>
  <c r="S71" i="10"/>
  <c r="N72" i="10"/>
  <c r="AA72" i="10"/>
  <c r="G72" i="10" s="1"/>
  <c r="U73" i="10"/>
  <c r="G62" i="10"/>
  <c r="E62" i="10"/>
  <c r="AA63" i="10"/>
  <c r="Q63" i="10"/>
  <c r="M63" i="10"/>
  <c r="N63" i="10"/>
  <c r="T63" i="10"/>
  <c r="Z63" i="10"/>
  <c r="O64" i="10"/>
  <c r="AB64" i="10"/>
  <c r="E65" i="10"/>
  <c r="T68" i="10"/>
  <c r="M62" i="10"/>
  <c r="T62" i="10"/>
  <c r="Z62" i="10"/>
  <c r="O63" i="10"/>
  <c r="U63" i="10"/>
  <c r="AB63" i="10"/>
  <c r="Q64" i="10"/>
  <c r="W64" i="10"/>
  <c r="V64" i="10" s="1"/>
  <c r="AC64" i="10"/>
  <c r="O62" i="10"/>
  <c r="U62" i="10"/>
  <c r="W63" i="10"/>
  <c r="V63" i="10" s="1"/>
  <c r="AC63" i="10"/>
  <c r="M64" i="10"/>
  <c r="S64" i="10"/>
  <c r="M66" i="10"/>
  <c r="H66" i="10" s="1"/>
  <c r="T66" i="10"/>
  <c r="O67" i="10"/>
  <c r="U67" i="10"/>
  <c r="Q68" i="10"/>
  <c r="W68" i="10"/>
  <c r="V68" i="10" s="1"/>
  <c r="AC68" i="10"/>
  <c r="K69" i="10"/>
  <c r="AB70" i="10"/>
  <c r="D70" i="10" s="1"/>
  <c r="W70" i="10"/>
  <c r="V70" i="10" s="1"/>
  <c r="S70" i="10"/>
  <c r="I70" i="10" s="1"/>
  <c r="N70" i="10"/>
  <c r="L70" i="10"/>
  <c r="Q70" i="10"/>
  <c r="Y70" i="10"/>
  <c r="AA71" i="10"/>
  <c r="Q71" i="10"/>
  <c r="M71" i="10"/>
  <c r="Z71" i="10"/>
  <c r="U71" i="10"/>
  <c r="I71" i="10" s="1"/>
  <c r="L71" i="10"/>
  <c r="O71" i="10"/>
  <c r="H71" i="10" s="1"/>
  <c r="Y71" i="10"/>
  <c r="M68" i="10"/>
  <c r="S68" i="10"/>
  <c r="E66" i="10"/>
  <c r="Z68" i="10"/>
  <c r="U68" i="10"/>
  <c r="L68" i="10"/>
  <c r="Z64" i="10"/>
  <c r="U64" i="10"/>
  <c r="I64" i="10" s="1"/>
  <c r="L64" i="10"/>
  <c r="N64" i="10"/>
  <c r="T64" i="10"/>
  <c r="AA64" i="10"/>
  <c r="AB62" i="10"/>
  <c r="W62" i="10"/>
  <c r="S62" i="10"/>
  <c r="N62" i="10"/>
  <c r="L62" i="10"/>
  <c r="Q62" i="10"/>
  <c r="Y62" i="10"/>
  <c r="N68" i="10"/>
  <c r="AA68" i="10"/>
  <c r="AB66" i="10"/>
  <c r="D66" i="10" s="1"/>
  <c r="W66" i="10"/>
  <c r="V66" i="10" s="1"/>
  <c r="S66" i="10"/>
  <c r="I66" i="10" s="1"/>
  <c r="N66" i="10"/>
  <c r="L66" i="10"/>
  <c r="Q66" i="10"/>
  <c r="Y66" i="10"/>
  <c r="AA67" i="10"/>
  <c r="Q67" i="10"/>
  <c r="M67" i="10"/>
  <c r="N67" i="10"/>
  <c r="T67" i="10"/>
  <c r="Z67" i="10"/>
  <c r="O68" i="10"/>
  <c r="AB68" i="10"/>
  <c r="D68" i="10" s="1"/>
  <c r="E69" i="10"/>
  <c r="O74" i="10"/>
  <c r="T74" i="10"/>
  <c r="Y74" i="10"/>
  <c r="AC74" i="10"/>
  <c r="D74" i="10" s="1"/>
  <c r="L74" i="10"/>
  <c r="U74" i="10"/>
  <c r="Z74" i="10"/>
  <c r="O72" i="10"/>
  <c r="H72" i="10" s="1"/>
  <c r="T72" i="10"/>
  <c r="Y72" i="10"/>
  <c r="AC72" i="10"/>
  <c r="N73" i="10"/>
  <c r="K73" i="10" s="1"/>
  <c r="S73" i="10"/>
  <c r="I73" i="10" s="1"/>
  <c r="W73" i="10"/>
  <c r="V73" i="10" s="1"/>
  <c r="AB73" i="10"/>
  <c r="D73" i="10" s="1"/>
  <c r="M74" i="10"/>
  <c r="Q74" i="10"/>
  <c r="AA74" i="10"/>
  <c r="O65" i="10"/>
  <c r="H65" i="10" s="1"/>
  <c r="T65" i="10"/>
  <c r="Y65" i="10"/>
  <c r="O69" i="10"/>
  <c r="T69" i="10"/>
  <c r="Y69" i="10"/>
  <c r="L72" i="10"/>
  <c r="U72" i="10"/>
  <c r="I72" i="10" s="1"/>
  <c r="O73" i="10"/>
  <c r="H73" i="10" s="1"/>
  <c r="T73" i="10"/>
  <c r="Y73" i="10"/>
  <c r="N74" i="10"/>
  <c r="S74" i="10"/>
  <c r="W74" i="10"/>
  <c r="V74" i="10" s="1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33" i="16"/>
  <c r="A32" i="16"/>
  <c r="A31" i="16"/>
  <c r="A30" i="16"/>
  <c r="A29" i="16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D72" i="10" l="1"/>
  <c r="AC75" i="10"/>
  <c r="I67" i="10"/>
  <c r="I63" i="10"/>
  <c r="K72" i="10"/>
  <c r="H64" i="10"/>
  <c r="H69" i="10"/>
  <c r="P72" i="10"/>
  <c r="J72" i="10" s="1"/>
  <c r="K65" i="10"/>
  <c r="AA75" i="10"/>
  <c r="E75" i="10" s="1"/>
  <c r="G70" i="10"/>
  <c r="E70" i="10"/>
  <c r="G73" i="10"/>
  <c r="E73" i="10"/>
  <c r="H70" i="10"/>
  <c r="I68" i="10"/>
  <c r="M75" i="10"/>
  <c r="E74" i="10"/>
  <c r="G74" i="10"/>
  <c r="I74" i="10"/>
  <c r="N75" i="10"/>
  <c r="E64" i="10"/>
  <c r="G64" i="10"/>
  <c r="E72" i="10"/>
  <c r="E71" i="10"/>
  <c r="G71" i="10"/>
  <c r="U75" i="10"/>
  <c r="I62" i="10"/>
  <c r="H63" i="10"/>
  <c r="P63" i="10"/>
  <c r="J63" i="10" s="1"/>
  <c r="K63" i="10"/>
  <c r="J73" i="10"/>
  <c r="E67" i="10"/>
  <c r="G67" i="10"/>
  <c r="E68" i="10"/>
  <c r="G68" i="10"/>
  <c r="AB75" i="10"/>
  <c r="D75" i="10" s="1"/>
  <c r="D62" i="10"/>
  <c r="P74" i="10"/>
  <c r="J74" i="10" s="1"/>
  <c r="K74" i="10"/>
  <c r="H74" i="10"/>
  <c r="H68" i="10"/>
  <c r="P66" i="10"/>
  <c r="J66" i="10" s="1"/>
  <c r="K66" i="10"/>
  <c r="Y75" i="10"/>
  <c r="S75" i="10"/>
  <c r="H67" i="10"/>
  <c r="O75" i="10"/>
  <c r="H62" i="10"/>
  <c r="P64" i="10"/>
  <c r="J64" i="10" s="1"/>
  <c r="K64" i="10"/>
  <c r="Z75" i="10"/>
  <c r="E63" i="10"/>
  <c r="G63" i="10"/>
  <c r="P71" i="10"/>
  <c r="J71" i="10" s="1"/>
  <c r="K71" i="10"/>
  <c r="P68" i="10"/>
  <c r="J68" i="10" s="1"/>
  <c r="K68" i="10"/>
  <c r="P67" i="10"/>
  <c r="J67" i="10" s="1"/>
  <c r="K67" i="10"/>
  <c r="Q75" i="10"/>
  <c r="P62" i="10"/>
  <c r="J62" i="10" s="1"/>
  <c r="K62" i="10"/>
  <c r="W75" i="10"/>
  <c r="V75" i="10" s="1"/>
  <c r="V62" i="10"/>
  <c r="K70" i="10"/>
  <c r="P70" i="10"/>
  <c r="J70" i="10" s="1"/>
  <c r="D63" i="10"/>
  <c r="T75" i="10"/>
  <c r="D64" i="10"/>
  <c r="X61" i="10"/>
  <c r="R61" i="10"/>
  <c r="F61" i="10"/>
  <c r="A61" i="10"/>
  <c r="L61" i="10" s="1"/>
  <c r="F60" i="10"/>
  <c r="A60" i="10"/>
  <c r="AB60" i="10" s="1"/>
  <c r="F59" i="10"/>
  <c r="A59" i="10"/>
  <c r="AC59" i="10" s="1"/>
  <c r="F58" i="10"/>
  <c r="A58" i="10"/>
  <c r="AC58" i="10" s="1"/>
  <c r="F57" i="10"/>
  <c r="A57" i="10"/>
  <c r="AC57" i="10" s="1"/>
  <c r="F56" i="10"/>
  <c r="A56" i="10"/>
  <c r="AC56" i="10" s="1"/>
  <c r="F55" i="10"/>
  <c r="A55" i="10"/>
  <c r="Z55" i="10" s="1"/>
  <c r="W54" i="10"/>
  <c r="V54" i="10" s="1"/>
  <c r="L54" i="10"/>
  <c r="F54" i="10"/>
  <c r="A54" i="10"/>
  <c r="AC54" i="10" s="1"/>
  <c r="F53" i="10"/>
  <c r="A53" i="10"/>
  <c r="S53" i="10" s="1"/>
  <c r="F52" i="10"/>
  <c r="A52" i="10"/>
  <c r="AC52" i="10" s="1"/>
  <c r="U51" i="10"/>
  <c r="F51" i="10"/>
  <c r="A51" i="10"/>
  <c r="AA51" i="10" s="1"/>
  <c r="F50" i="10"/>
  <c r="A50" i="10"/>
  <c r="AC50" i="10" s="1"/>
  <c r="F49" i="10"/>
  <c r="A49" i="10"/>
  <c r="F48" i="10"/>
  <c r="A48" i="10"/>
  <c r="Z48" i="10" s="1"/>
  <c r="G75" i="10" l="1"/>
  <c r="I75" i="10"/>
  <c r="P75" i="10"/>
  <c r="J75" i="10" s="1"/>
  <c r="K75" i="10"/>
  <c r="H75" i="10"/>
  <c r="O51" i="10"/>
  <c r="N54" i="10"/>
  <c r="J54" i="10" s="1"/>
  <c r="AA54" i="10"/>
  <c r="G54" i="10" s="1"/>
  <c r="S52" i="10"/>
  <c r="Q54" i="10"/>
  <c r="P54" i="10" s="1"/>
  <c r="L56" i="10"/>
  <c r="S48" i="10"/>
  <c r="AC51" i="10"/>
  <c r="E51" i="10" s="1"/>
  <c r="Y52" i="10"/>
  <c r="U54" i="10"/>
  <c r="W56" i="10"/>
  <c r="V56" i="10" s="1"/>
  <c r="S57" i="10"/>
  <c r="N58" i="10"/>
  <c r="W58" i="10"/>
  <c r="V58" i="10" s="1"/>
  <c r="Y53" i="10"/>
  <c r="O55" i="10"/>
  <c r="AA55" i="10"/>
  <c r="Y48" i="10"/>
  <c r="N50" i="10"/>
  <c r="U50" i="10"/>
  <c r="AA50" i="10"/>
  <c r="G50" i="10" s="1"/>
  <c r="W52" i="10"/>
  <c r="V52" i="10" s="1"/>
  <c r="M54" i="10"/>
  <c r="S54" i="10"/>
  <c r="Z54" i="10"/>
  <c r="T55" i="10"/>
  <c r="AC55" i="10"/>
  <c r="O56" i="10"/>
  <c r="Y56" i="10"/>
  <c r="W57" i="10"/>
  <c r="V57" i="10" s="1"/>
  <c r="Q58" i="10"/>
  <c r="Z58" i="10"/>
  <c r="M50" i="10"/>
  <c r="S50" i="10"/>
  <c r="Z50" i="10"/>
  <c r="AB50" i="10"/>
  <c r="D50" i="10" s="1"/>
  <c r="M53" i="10"/>
  <c r="U55" i="10"/>
  <c r="S56" i="10"/>
  <c r="AB56" i="10"/>
  <c r="D56" i="10" s="1"/>
  <c r="M57" i="10"/>
  <c r="Y57" i="10"/>
  <c r="L58" i="10"/>
  <c r="S58" i="10"/>
  <c r="AA58" i="10"/>
  <c r="G58" i="10" s="1"/>
  <c r="L48" i="10"/>
  <c r="L50" i="10"/>
  <c r="Q50" i="10"/>
  <c r="P50" i="10" s="1"/>
  <c r="W50" i="10"/>
  <c r="V50" i="10" s="1"/>
  <c r="L52" i="10"/>
  <c r="AB54" i="10"/>
  <c r="D54" i="10" s="1"/>
  <c r="M55" i="10"/>
  <c r="U56" i="10"/>
  <c r="I56" i="10" s="1"/>
  <c r="Q57" i="10"/>
  <c r="P57" i="10" s="1"/>
  <c r="M58" i="10"/>
  <c r="U58" i="10"/>
  <c r="AB58" i="10"/>
  <c r="D58" i="10" s="1"/>
  <c r="Z49" i="10"/>
  <c r="U49" i="10"/>
  <c r="L49" i="10"/>
  <c r="N49" i="10"/>
  <c r="T49" i="10"/>
  <c r="AA49" i="10"/>
  <c r="N48" i="10"/>
  <c r="T48" i="10"/>
  <c r="O49" i="10"/>
  <c r="AB49" i="10"/>
  <c r="Z53" i="10"/>
  <c r="U53" i="10"/>
  <c r="I53" i="10" s="1"/>
  <c r="L53" i="10"/>
  <c r="N53" i="10"/>
  <c r="AA53" i="10"/>
  <c r="AA48" i="10"/>
  <c r="Q48" i="10"/>
  <c r="M48" i="10"/>
  <c r="T53" i="10"/>
  <c r="O48" i="10"/>
  <c r="W49" i="10"/>
  <c r="V49" i="10" s="1"/>
  <c r="AB51" i="10"/>
  <c r="W51" i="10"/>
  <c r="V51" i="10" s="1"/>
  <c r="S51" i="10"/>
  <c r="I51" i="10" s="1"/>
  <c r="N51" i="10"/>
  <c r="G51" i="10"/>
  <c r="L51" i="10"/>
  <c r="Q51" i="10"/>
  <c r="Y51" i="10"/>
  <c r="AA52" i="10"/>
  <c r="Q52" i="10"/>
  <c r="M52" i="10"/>
  <c r="N52" i="10"/>
  <c r="T52" i="10"/>
  <c r="Z52" i="10"/>
  <c r="O53" i="10"/>
  <c r="H53" i="10" s="1"/>
  <c r="AB53" i="10"/>
  <c r="E54" i="10"/>
  <c r="Z57" i="10"/>
  <c r="U57" i="10"/>
  <c r="I57" i="10" s="1"/>
  <c r="L57" i="10"/>
  <c r="N57" i="10"/>
  <c r="K57" i="10" s="1"/>
  <c r="T57" i="10"/>
  <c r="AA57" i="10"/>
  <c r="U48" i="10"/>
  <c r="AB48" i="10"/>
  <c r="Q49" i="10"/>
  <c r="AC49" i="10"/>
  <c r="W48" i="10"/>
  <c r="AC48" i="10"/>
  <c r="M49" i="10"/>
  <c r="S49" i="10"/>
  <c r="Y49" i="10"/>
  <c r="M51" i="10"/>
  <c r="H51" i="10" s="1"/>
  <c r="T51" i="10"/>
  <c r="Z51" i="10"/>
  <c r="O52" i="10"/>
  <c r="U52" i="10"/>
  <c r="I52" i="10" s="1"/>
  <c r="AB52" i="10"/>
  <c r="D52" i="10" s="1"/>
  <c r="Q53" i="10"/>
  <c r="W53" i="10"/>
  <c r="V53" i="10" s="1"/>
  <c r="AC53" i="10"/>
  <c r="K54" i="10"/>
  <c r="AB55" i="10"/>
  <c r="W55" i="10"/>
  <c r="V55" i="10" s="1"/>
  <c r="S55" i="10"/>
  <c r="N55" i="10"/>
  <c r="L55" i="10"/>
  <c r="Q55" i="10"/>
  <c r="Y55" i="10"/>
  <c r="AA56" i="10"/>
  <c r="Q56" i="10"/>
  <c r="M56" i="10"/>
  <c r="H56" i="10" s="1"/>
  <c r="N56" i="10"/>
  <c r="T56" i="10"/>
  <c r="Z56" i="10"/>
  <c r="O57" i="10"/>
  <c r="H57" i="10" s="1"/>
  <c r="AB57" i="10"/>
  <c r="D57" i="10" s="1"/>
  <c r="P58" i="10"/>
  <c r="J58" i="10" s="1"/>
  <c r="L59" i="10"/>
  <c r="U59" i="10"/>
  <c r="Z59" i="10"/>
  <c r="O60" i="10"/>
  <c r="T60" i="10"/>
  <c r="Y60" i="10"/>
  <c r="AC60" i="10"/>
  <c r="D60" i="10" s="1"/>
  <c r="M59" i="10"/>
  <c r="Q59" i="10"/>
  <c r="AA59" i="10"/>
  <c r="L60" i="10"/>
  <c r="U60" i="10"/>
  <c r="Z60" i="10"/>
  <c r="O50" i="10"/>
  <c r="H50" i="10" s="1"/>
  <c r="T50" i="10"/>
  <c r="Y50" i="10"/>
  <c r="O54" i="10"/>
  <c r="H54" i="10" s="1"/>
  <c r="T54" i="10"/>
  <c r="Y54" i="10"/>
  <c r="O58" i="10"/>
  <c r="H58" i="10" s="1"/>
  <c r="T58" i="10"/>
  <c r="Y58" i="10"/>
  <c r="N59" i="10"/>
  <c r="S59" i="10"/>
  <c r="W59" i="10"/>
  <c r="V59" i="10" s="1"/>
  <c r="AB59" i="10"/>
  <c r="D59" i="10" s="1"/>
  <c r="M60" i="10"/>
  <c r="Q60" i="10"/>
  <c r="AA60" i="10"/>
  <c r="O59" i="10"/>
  <c r="T59" i="10"/>
  <c r="Y59" i="10"/>
  <c r="N60" i="10"/>
  <c r="S60" i="10"/>
  <c r="W60" i="10"/>
  <c r="V60" i="10" s="1"/>
  <c r="D51" i="10" l="1"/>
  <c r="I54" i="10"/>
  <c r="I55" i="10"/>
  <c r="E50" i="10"/>
  <c r="D55" i="10"/>
  <c r="K58" i="10"/>
  <c r="K50" i="10"/>
  <c r="I60" i="10"/>
  <c r="H60" i="10"/>
  <c r="I50" i="10"/>
  <c r="H55" i="10"/>
  <c r="E58" i="10"/>
  <c r="J50" i="10"/>
  <c r="Y61" i="10"/>
  <c r="I58" i="10"/>
  <c r="Z61" i="10"/>
  <c r="S61" i="10"/>
  <c r="G55" i="10"/>
  <c r="E55" i="10"/>
  <c r="P56" i="10"/>
  <c r="J56" i="10" s="1"/>
  <c r="K56" i="10"/>
  <c r="E57" i="10"/>
  <c r="G57" i="10"/>
  <c r="P51" i="10"/>
  <c r="J51" i="10" s="1"/>
  <c r="K51" i="10"/>
  <c r="T61" i="10"/>
  <c r="P60" i="10"/>
  <c r="J60" i="10" s="1"/>
  <c r="K60" i="10"/>
  <c r="E60" i="10"/>
  <c r="G60" i="10"/>
  <c r="P53" i="10"/>
  <c r="J53" i="10" s="1"/>
  <c r="K53" i="10"/>
  <c r="E56" i="10"/>
  <c r="G56" i="10"/>
  <c r="E48" i="10"/>
  <c r="AA61" i="10"/>
  <c r="G48" i="10"/>
  <c r="AC61" i="10"/>
  <c r="P49" i="10"/>
  <c r="J49" i="10" s="1"/>
  <c r="K49" i="10"/>
  <c r="E52" i="10"/>
  <c r="G52" i="10"/>
  <c r="D49" i="10"/>
  <c r="G49" i="10"/>
  <c r="E49" i="10"/>
  <c r="I49" i="10"/>
  <c r="K59" i="10"/>
  <c r="P59" i="10"/>
  <c r="J59" i="10" s="1"/>
  <c r="U61" i="10"/>
  <c r="I61" i="10" s="1"/>
  <c r="I48" i="10"/>
  <c r="Q61" i="10"/>
  <c r="P48" i="10"/>
  <c r="J48" i="10" s="1"/>
  <c r="K48" i="10"/>
  <c r="E53" i="10"/>
  <c r="G53" i="10"/>
  <c r="P52" i="10"/>
  <c r="J52" i="10" s="1"/>
  <c r="K52" i="10"/>
  <c r="O61" i="10"/>
  <c r="H48" i="10"/>
  <c r="N61" i="10"/>
  <c r="H59" i="10"/>
  <c r="G59" i="10"/>
  <c r="E59" i="10"/>
  <c r="I59" i="10"/>
  <c r="P55" i="10"/>
  <c r="J55" i="10" s="1"/>
  <c r="K55" i="10"/>
  <c r="H52" i="10"/>
  <c r="V48" i="10"/>
  <c r="W61" i="10"/>
  <c r="V61" i="10" s="1"/>
  <c r="AB61" i="10"/>
  <c r="D48" i="10"/>
  <c r="D53" i="10"/>
  <c r="M61" i="10"/>
  <c r="H49" i="10"/>
  <c r="J57" i="10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D61" i="10" l="1"/>
  <c r="P61" i="10"/>
  <c r="J61" i="10" s="1"/>
  <c r="K61" i="10"/>
  <c r="H61" i="10"/>
  <c r="E61" i="10"/>
  <c r="G61" i="10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28" i="16"/>
  <c r="A27" i="16"/>
  <c r="A26" i="16"/>
  <c r="A25" i="16"/>
  <c r="A24" i="16"/>
  <c r="A23" i="16"/>
  <c r="A22" i="16"/>
  <c r="A21" i="16"/>
  <c r="A20" i="16"/>
  <c r="A19" i="16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X47" i="10" l="1"/>
  <c r="R47" i="10"/>
  <c r="F47" i="10"/>
  <c r="A47" i="10"/>
  <c r="F46" i="10"/>
  <c r="A46" i="10"/>
  <c r="AB46" i="10" s="1"/>
  <c r="F45" i="10"/>
  <c r="A45" i="10"/>
  <c r="Q44" i="10"/>
  <c r="M44" i="10"/>
  <c r="F44" i="10"/>
  <c r="A44" i="10"/>
  <c r="Z44" i="10" s="1"/>
  <c r="Z43" i="10"/>
  <c r="N43" i="10"/>
  <c r="F43" i="10"/>
  <c r="A43" i="10"/>
  <c r="AA43" i="10" s="1"/>
  <c r="F42" i="10"/>
  <c r="A42" i="10"/>
  <c r="Y42" i="10" s="1"/>
  <c r="F41" i="10"/>
  <c r="A41" i="10"/>
  <c r="AB41" i="10" s="1"/>
  <c r="F40" i="10"/>
  <c r="A40" i="10"/>
  <c r="Y40" i="10" s="1"/>
  <c r="F39" i="10"/>
  <c r="A39" i="10"/>
  <c r="F38" i="10"/>
  <c r="A38" i="10"/>
  <c r="AA38" i="10" s="1"/>
  <c r="F37" i="10"/>
  <c r="A37" i="10"/>
  <c r="AB37" i="10" s="1"/>
  <c r="O36" i="10"/>
  <c r="F36" i="10"/>
  <c r="A36" i="10"/>
  <c r="Y36" i="10" s="1"/>
  <c r="F35" i="10"/>
  <c r="A35" i="10"/>
  <c r="F34" i="10"/>
  <c r="A34" i="10"/>
  <c r="M41" i="10" l="1"/>
  <c r="Q41" i="10"/>
  <c r="P41" i="10" s="1"/>
  <c r="Z41" i="10"/>
  <c r="O42" i="10"/>
  <c r="M36" i="10"/>
  <c r="H36" i="10" s="1"/>
  <c r="AB43" i="10"/>
  <c r="AB36" i="10"/>
  <c r="N37" i="10"/>
  <c r="AA37" i="10"/>
  <c r="N41" i="10"/>
  <c r="J41" i="10" s="1"/>
  <c r="AA41" i="10"/>
  <c r="M42" i="10"/>
  <c r="H42" i="10" s="1"/>
  <c r="AA44" i="10"/>
  <c r="G44" i="10" s="1"/>
  <c r="Y39" i="10"/>
  <c r="Z45" i="10"/>
  <c r="Q37" i="10"/>
  <c r="Q36" i="10"/>
  <c r="P36" i="10" s="1"/>
  <c r="M37" i="10"/>
  <c r="Z37" i="10"/>
  <c r="AB34" i="10"/>
  <c r="N34" i="10"/>
  <c r="Z34" i="10"/>
  <c r="M34" i="10"/>
  <c r="AA34" i="10"/>
  <c r="O34" i="10"/>
  <c r="Q34" i="10"/>
  <c r="AA35" i="10"/>
  <c r="Q35" i="10"/>
  <c r="M35" i="10"/>
  <c r="AB35" i="10"/>
  <c r="O35" i="10"/>
  <c r="Y35" i="10"/>
  <c r="Z35" i="10"/>
  <c r="N35" i="10"/>
  <c r="G38" i="10"/>
  <c r="Y34" i="10"/>
  <c r="M38" i="10"/>
  <c r="Z38" i="10"/>
  <c r="O39" i="10"/>
  <c r="AB39" i="10"/>
  <c r="Q40" i="10"/>
  <c r="AB42" i="10"/>
  <c r="N42" i="10"/>
  <c r="Z42" i="10"/>
  <c r="Q42" i="10"/>
  <c r="AA42" i="10"/>
  <c r="Z36" i="10"/>
  <c r="N36" i="10"/>
  <c r="AA36" i="10"/>
  <c r="O38" i="10"/>
  <c r="M40" i="10"/>
  <c r="Z40" i="10"/>
  <c r="N40" i="10"/>
  <c r="AA40" i="10"/>
  <c r="G43" i="10"/>
  <c r="AB38" i="10"/>
  <c r="N38" i="10"/>
  <c r="Q38" i="10"/>
  <c r="Y38" i="10"/>
  <c r="AA39" i="10"/>
  <c r="Q39" i="10"/>
  <c r="M39" i="10"/>
  <c r="N39" i="10"/>
  <c r="Z39" i="10"/>
  <c r="O40" i="10"/>
  <c r="AB40" i="10"/>
  <c r="P44" i="10"/>
  <c r="O46" i="10"/>
  <c r="Y46" i="10"/>
  <c r="O43" i="10"/>
  <c r="Y43" i="10"/>
  <c r="N44" i="10"/>
  <c r="K44" i="10" s="1"/>
  <c r="AB44" i="10"/>
  <c r="M45" i="10"/>
  <c r="Q45" i="10"/>
  <c r="AA45" i="10"/>
  <c r="Z46" i="10"/>
  <c r="O44" i="10"/>
  <c r="H44" i="10" s="1"/>
  <c r="Y44" i="10"/>
  <c r="N45" i="10"/>
  <c r="AB45" i="10"/>
  <c r="M46" i="10"/>
  <c r="Q46" i="10"/>
  <c r="AA46" i="10"/>
  <c r="O37" i="10"/>
  <c r="H37" i="10" s="1"/>
  <c r="Y37" i="10"/>
  <c r="O41" i="10"/>
  <c r="H41" i="10" s="1"/>
  <c r="Y41" i="10"/>
  <c r="M43" i="10"/>
  <c r="Q43" i="10"/>
  <c r="O45" i="10"/>
  <c r="Y45" i="10"/>
  <c r="N46" i="10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8" i="16"/>
  <c r="A17" i="16"/>
  <c r="A16" i="16"/>
  <c r="A15" i="16"/>
  <c r="A14" i="16"/>
  <c r="A13" i="16"/>
  <c r="A12" i="16"/>
  <c r="A11" i="16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H34" i="10" l="1"/>
  <c r="M47" i="10"/>
  <c r="H43" i="10"/>
  <c r="H46" i="10"/>
  <c r="K41" i="10"/>
  <c r="G37" i="10"/>
  <c r="AA47" i="10"/>
  <c r="G47" i="10" s="1"/>
  <c r="K37" i="10"/>
  <c r="P37" i="10"/>
  <c r="J37" i="10" s="1"/>
  <c r="N47" i="10"/>
  <c r="H35" i="10"/>
  <c r="Z47" i="10"/>
  <c r="G41" i="10"/>
  <c r="G45" i="10"/>
  <c r="J44" i="10"/>
  <c r="K45" i="10"/>
  <c r="P45" i="10"/>
  <c r="J45" i="10" s="1"/>
  <c r="G39" i="10"/>
  <c r="P42" i="10"/>
  <c r="J42" i="10" s="1"/>
  <c r="K42" i="10"/>
  <c r="G35" i="10"/>
  <c r="P34" i="10"/>
  <c r="J34" i="10" s="1"/>
  <c r="K34" i="10"/>
  <c r="G46" i="10"/>
  <c r="G40" i="10"/>
  <c r="K36" i="10"/>
  <c r="J36" i="10"/>
  <c r="AB47" i="10"/>
  <c r="Y47" i="10"/>
  <c r="K43" i="10"/>
  <c r="P43" i="10"/>
  <c r="J43" i="10" s="1"/>
  <c r="H45" i="10"/>
  <c r="P46" i="10"/>
  <c r="J46" i="10" s="1"/>
  <c r="K46" i="10"/>
  <c r="H40" i="10"/>
  <c r="P38" i="10"/>
  <c r="J38" i="10" s="1"/>
  <c r="K38" i="10"/>
  <c r="H38" i="10"/>
  <c r="H39" i="10"/>
  <c r="P39" i="10"/>
  <c r="J39" i="10" s="1"/>
  <c r="K39" i="10"/>
  <c r="G36" i="10"/>
  <c r="O47" i="10"/>
  <c r="G42" i="10"/>
  <c r="P40" i="10"/>
  <c r="J40" i="10" s="1"/>
  <c r="K40" i="10"/>
  <c r="P35" i="10"/>
  <c r="J35" i="10" s="1"/>
  <c r="K35" i="10"/>
  <c r="Q47" i="10"/>
  <c r="G34" i="10"/>
  <c r="X33" i="10"/>
  <c r="R33" i="10"/>
  <c r="F33" i="10"/>
  <c r="A33" i="10"/>
  <c r="F32" i="10"/>
  <c r="A32" i="10"/>
  <c r="AB32" i="10" s="1"/>
  <c r="F31" i="10"/>
  <c r="A31" i="10"/>
  <c r="F30" i="10"/>
  <c r="A30" i="10"/>
  <c r="Z30" i="10" s="1"/>
  <c r="N29" i="10"/>
  <c r="F29" i="10"/>
  <c r="A29" i="10"/>
  <c r="M29" i="10" s="1"/>
  <c r="F28" i="10"/>
  <c r="A28" i="10"/>
  <c r="F27" i="10"/>
  <c r="A27" i="10"/>
  <c r="AB27" i="10" s="1"/>
  <c r="M26" i="10"/>
  <c r="F26" i="10"/>
  <c r="A26" i="10"/>
  <c r="F25" i="10"/>
  <c r="A25" i="10"/>
  <c r="AA25" i="10" s="1"/>
  <c r="G25" i="10" s="1"/>
  <c r="F24" i="10"/>
  <c r="A24" i="10"/>
  <c r="F23" i="10"/>
  <c r="A23" i="10"/>
  <c r="F22" i="10"/>
  <c r="A22" i="10"/>
  <c r="F21" i="10"/>
  <c r="A21" i="10"/>
  <c r="N21" i="10" s="1"/>
  <c r="F20" i="10"/>
  <c r="A20" i="10"/>
  <c r="Y20" i="10" s="1"/>
  <c r="F19" i="10"/>
  <c r="A19" i="10"/>
  <c r="Y19" i="10" s="1"/>
  <c r="Q25" i="10" l="1"/>
  <c r="P25" i="10" s="1"/>
  <c r="AB19" i="10"/>
  <c r="AA29" i="10"/>
  <c r="G29" i="10" s="1"/>
  <c r="O19" i="10"/>
  <c r="AB29" i="10"/>
  <c r="Q20" i="10"/>
  <c r="P20" i="10" s="1"/>
  <c r="N25" i="10"/>
  <c r="H47" i="10"/>
  <c r="P47" i="10"/>
  <c r="J47" i="10" s="1"/>
  <c r="K47" i="10"/>
  <c r="AA30" i="10"/>
  <c r="G30" i="10" s="1"/>
  <c r="Q21" i="10"/>
  <c r="K21" i="10" s="1"/>
  <c r="Z21" i="10"/>
  <c r="AB24" i="10"/>
  <c r="AB25" i="10"/>
  <c r="Q29" i="10"/>
  <c r="K29" i="10" s="1"/>
  <c r="Z29" i="10"/>
  <c r="Z31" i="10"/>
  <c r="Q24" i="10"/>
  <c r="P24" i="10" s="1"/>
  <c r="Y24" i="10"/>
  <c r="AA21" i="10"/>
  <c r="G21" i="10" s="1"/>
  <c r="M24" i="10"/>
  <c r="Z26" i="10"/>
  <c r="Y27" i="10"/>
  <c r="Q28" i="10"/>
  <c r="P28" i="10" s="1"/>
  <c r="M30" i="10"/>
  <c r="M21" i="10"/>
  <c r="AB21" i="10"/>
  <c r="O24" i="10"/>
  <c r="M25" i="10"/>
  <c r="Z25" i="10"/>
  <c r="O27" i="10"/>
  <c r="Q30" i="10"/>
  <c r="P30" i="10" s="1"/>
  <c r="Z28" i="10"/>
  <c r="N28" i="10"/>
  <c r="AA28" i="10"/>
  <c r="AB22" i="10"/>
  <c r="N22" i="10"/>
  <c r="Q22" i="10"/>
  <c r="Y22" i="10"/>
  <c r="AA23" i="10"/>
  <c r="Q23" i="10"/>
  <c r="M23" i="10"/>
  <c r="N23" i="10"/>
  <c r="Z23" i="10"/>
  <c r="AA19" i="10"/>
  <c r="Q19" i="10"/>
  <c r="M19" i="10"/>
  <c r="M20" i="10"/>
  <c r="M22" i="10"/>
  <c r="Z22" i="10"/>
  <c r="O23" i="10"/>
  <c r="AB23" i="10"/>
  <c r="AB26" i="10"/>
  <c r="N26" i="10"/>
  <c r="Q26" i="10"/>
  <c r="Y26" i="10"/>
  <c r="AA27" i="10"/>
  <c r="Q27" i="10"/>
  <c r="M27" i="10"/>
  <c r="N27" i="10"/>
  <c r="Z27" i="10"/>
  <c r="O28" i="10"/>
  <c r="AB28" i="10"/>
  <c r="AA22" i="10"/>
  <c r="Z20" i="10"/>
  <c r="N20" i="10"/>
  <c r="AA20" i="10"/>
  <c r="O22" i="10"/>
  <c r="N19" i="10"/>
  <c r="Z19" i="10"/>
  <c r="O20" i="10"/>
  <c r="AB20" i="10"/>
  <c r="Y23" i="10"/>
  <c r="Z24" i="10"/>
  <c r="N24" i="10"/>
  <c r="AA24" i="10"/>
  <c r="O26" i="10"/>
  <c r="H26" i="10" s="1"/>
  <c r="AA26" i="10"/>
  <c r="M28" i="10"/>
  <c r="Y28" i="10"/>
  <c r="O32" i="10"/>
  <c r="Y32" i="10"/>
  <c r="O21" i="10"/>
  <c r="Y21" i="10"/>
  <c r="O25" i="10"/>
  <c r="Y25" i="10"/>
  <c r="O29" i="10"/>
  <c r="H29" i="10" s="1"/>
  <c r="Y29" i="10"/>
  <c r="N30" i="10"/>
  <c r="AB30" i="10"/>
  <c r="M31" i="10"/>
  <c r="Q31" i="10"/>
  <c r="AA31" i="10"/>
  <c r="Z32" i="10"/>
  <c r="O30" i="10"/>
  <c r="H30" i="10" s="1"/>
  <c r="Y30" i="10"/>
  <c r="N31" i="10"/>
  <c r="AB31" i="10"/>
  <c r="M32" i="10"/>
  <c r="Q32" i="10"/>
  <c r="AA32" i="10"/>
  <c r="O31" i="10"/>
  <c r="Y31" i="10"/>
  <c r="N32" i="10"/>
  <c r="A10" i="16"/>
  <c r="A9" i="16"/>
  <c r="J20" i="10" l="1"/>
  <c r="K25" i="10"/>
  <c r="P29" i="10"/>
  <c r="J29" i="10" s="1"/>
  <c r="J25" i="10"/>
  <c r="K30" i="10"/>
  <c r="P21" i="10"/>
  <c r="J21" i="10" s="1"/>
  <c r="H25" i="10"/>
  <c r="H31" i="10"/>
  <c r="H21" i="10"/>
  <c r="H20" i="10"/>
  <c r="H27" i="10"/>
  <c r="H23" i="10"/>
  <c r="H24" i="10"/>
  <c r="Y33" i="10"/>
  <c r="J30" i="10"/>
  <c r="H22" i="10"/>
  <c r="K28" i="10"/>
  <c r="M33" i="10"/>
  <c r="K20" i="10"/>
  <c r="G32" i="10"/>
  <c r="H19" i="10"/>
  <c r="P27" i="10"/>
  <c r="J27" i="10" s="1"/>
  <c r="K27" i="10"/>
  <c r="Q33" i="10"/>
  <c r="P19" i="10"/>
  <c r="J19" i="10" s="1"/>
  <c r="K19" i="10"/>
  <c r="AB33" i="10"/>
  <c r="K31" i="10"/>
  <c r="P31" i="10"/>
  <c r="J31" i="10" s="1"/>
  <c r="Z33" i="10"/>
  <c r="H28" i="10"/>
  <c r="P26" i="10"/>
  <c r="J26" i="10" s="1"/>
  <c r="K26" i="10"/>
  <c r="G23" i="10"/>
  <c r="P32" i="10"/>
  <c r="J32" i="10" s="1"/>
  <c r="K32" i="10"/>
  <c r="H32" i="10"/>
  <c r="G24" i="10"/>
  <c r="N33" i="10"/>
  <c r="G20" i="10"/>
  <c r="G22" i="10"/>
  <c r="G27" i="10"/>
  <c r="AA33" i="10"/>
  <c r="G19" i="10"/>
  <c r="P22" i="10"/>
  <c r="J22" i="10" s="1"/>
  <c r="K22" i="10"/>
  <c r="K24" i="10"/>
  <c r="J24" i="10"/>
  <c r="G31" i="10"/>
  <c r="G26" i="10"/>
  <c r="O33" i="10"/>
  <c r="P23" i="10"/>
  <c r="J23" i="10" s="1"/>
  <c r="K23" i="10"/>
  <c r="G28" i="10"/>
  <c r="J28" i="10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8" i="16"/>
  <c r="A7" i="16"/>
  <c r="A6" i="16"/>
  <c r="A5" i="16"/>
  <c r="A4" i="16"/>
  <c r="A3" i="16"/>
  <c r="A14" i="22"/>
  <c r="A13" i="22"/>
  <c r="A12" i="22"/>
  <c r="A11" i="22"/>
  <c r="A10" i="22"/>
  <c r="A9" i="22"/>
  <c r="A8" i="22"/>
  <c r="A7" i="22"/>
  <c r="A6" i="22"/>
  <c r="A5" i="22"/>
  <c r="A4" i="22"/>
  <c r="A3" i="22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L41" i="10" l="1"/>
  <c r="L43" i="10"/>
  <c r="L47" i="10"/>
  <c r="L34" i="10"/>
  <c r="L37" i="10"/>
  <c r="L40" i="10"/>
  <c r="L39" i="10"/>
  <c r="L35" i="10"/>
  <c r="L44" i="10"/>
  <c r="L45" i="10"/>
  <c r="L42" i="10"/>
  <c r="L36" i="10"/>
  <c r="L38" i="10"/>
  <c r="L46" i="10"/>
  <c r="L31" i="10"/>
  <c r="L29" i="10"/>
  <c r="L25" i="10"/>
  <c r="L19" i="10"/>
  <c r="L33" i="10"/>
  <c r="L27" i="10"/>
  <c r="L28" i="10"/>
  <c r="L20" i="10"/>
  <c r="L23" i="10"/>
  <c r="L30" i="10"/>
  <c r="L24" i="10"/>
  <c r="L32" i="10"/>
  <c r="L22" i="10"/>
  <c r="L26" i="10"/>
  <c r="L21" i="10"/>
  <c r="AC36" i="10"/>
  <c r="AC45" i="10"/>
  <c r="AC40" i="10"/>
  <c r="AC44" i="10"/>
  <c r="AC39" i="10"/>
  <c r="AC41" i="10"/>
  <c r="AC34" i="10"/>
  <c r="AC35" i="10"/>
  <c r="AC42" i="10"/>
  <c r="AC43" i="10"/>
  <c r="AC37" i="10"/>
  <c r="AC38" i="10"/>
  <c r="AC46" i="10"/>
  <c r="AC21" i="10"/>
  <c r="AC24" i="10"/>
  <c r="AC32" i="10"/>
  <c r="AC30" i="10"/>
  <c r="AC26" i="10"/>
  <c r="AC20" i="10"/>
  <c r="AC31" i="10"/>
  <c r="AC22" i="10"/>
  <c r="AC25" i="10"/>
  <c r="AC28" i="10"/>
  <c r="AC19" i="10"/>
  <c r="AC27" i="10"/>
  <c r="AC29" i="10"/>
  <c r="AC23" i="10"/>
  <c r="W43" i="10"/>
  <c r="V43" i="10" s="1"/>
  <c r="W41" i="10"/>
  <c r="V41" i="10" s="1"/>
  <c r="S41" i="10"/>
  <c r="W36" i="10"/>
  <c r="V36" i="10" s="1"/>
  <c r="T46" i="10"/>
  <c r="U45" i="10"/>
  <c r="T35" i="10"/>
  <c r="W42" i="10"/>
  <c r="V42" i="10" s="1"/>
  <c r="U42" i="10"/>
  <c r="S40" i="10"/>
  <c r="U40" i="10"/>
  <c r="S38" i="10"/>
  <c r="W44" i="10"/>
  <c r="V44" i="10" s="1"/>
  <c r="T37" i="10"/>
  <c r="U44" i="10"/>
  <c r="S39" i="10"/>
  <c r="S37" i="10"/>
  <c r="W35" i="10"/>
  <c r="V35" i="10" s="1"/>
  <c r="W40" i="10"/>
  <c r="V40" i="10" s="1"/>
  <c r="S42" i="10"/>
  <c r="U38" i="10"/>
  <c r="T42" i="10"/>
  <c r="T39" i="10"/>
  <c r="T44" i="10"/>
  <c r="S45" i="10"/>
  <c r="S46" i="10"/>
  <c r="U37" i="10"/>
  <c r="U43" i="10"/>
  <c r="W37" i="10"/>
  <c r="V37" i="10" s="1"/>
  <c r="W34" i="10"/>
  <c r="T34" i="10"/>
  <c r="U34" i="10"/>
  <c r="U35" i="10"/>
  <c r="S35" i="10"/>
  <c r="U39" i="10"/>
  <c r="T36" i="10"/>
  <c r="W39" i="10"/>
  <c r="V39" i="10" s="1"/>
  <c r="U46" i="10"/>
  <c r="W45" i="10"/>
  <c r="V45" i="10" s="1"/>
  <c r="T45" i="10"/>
  <c r="W46" i="10"/>
  <c r="V46" i="10" s="1"/>
  <c r="S43" i="10"/>
  <c r="S36" i="10"/>
  <c r="U41" i="10"/>
  <c r="S34" i="10"/>
  <c r="T38" i="10"/>
  <c r="U36" i="10"/>
  <c r="I36" i="10" s="1"/>
  <c r="T40" i="10"/>
  <c r="W38" i="10"/>
  <c r="V38" i="10" s="1"/>
  <c r="T43" i="10"/>
  <c r="S44" i="10"/>
  <c r="T41" i="10"/>
  <c r="S29" i="10"/>
  <c r="U19" i="10"/>
  <c r="U31" i="10"/>
  <c r="W29" i="10"/>
  <c r="V29" i="10" s="1"/>
  <c r="U29" i="10"/>
  <c r="I29" i="10" s="1"/>
  <c r="U25" i="10"/>
  <c r="W21" i="10"/>
  <c r="V21" i="10" s="1"/>
  <c r="W20" i="10"/>
  <c r="V20" i="10" s="1"/>
  <c r="W25" i="10"/>
  <c r="V25" i="10" s="1"/>
  <c r="W28" i="10"/>
  <c r="V28" i="10" s="1"/>
  <c r="W19" i="10"/>
  <c r="U23" i="10"/>
  <c r="S26" i="10"/>
  <c r="W23" i="10"/>
  <c r="V23" i="10" s="1"/>
  <c r="T24" i="10"/>
  <c r="S28" i="10"/>
  <c r="S30" i="10"/>
  <c r="W24" i="10"/>
  <c r="V24" i="10" s="1"/>
  <c r="S27" i="10"/>
  <c r="T26" i="10"/>
  <c r="U21" i="10"/>
  <c r="W22" i="10"/>
  <c r="V22" i="10" s="1"/>
  <c r="T22" i="10"/>
  <c r="T27" i="10"/>
  <c r="T20" i="10"/>
  <c r="W27" i="10"/>
  <c r="V27" i="10" s="1"/>
  <c r="W30" i="10"/>
  <c r="V30" i="10" s="1"/>
  <c r="S19" i="10"/>
  <c r="U27" i="10"/>
  <c r="S25" i="10"/>
  <c r="I25" i="10" s="1"/>
  <c r="S22" i="10"/>
  <c r="U20" i="10"/>
  <c r="T25" i="10"/>
  <c r="S31" i="10"/>
  <c r="U28" i="10"/>
  <c r="T23" i="10"/>
  <c r="S20" i="10"/>
  <c r="W26" i="10"/>
  <c r="V26" i="10" s="1"/>
  <c r="T19" i="10"/>
  <c r="U26" i="10"/>
  <c r="T32" i="10"/>
  <c r="T21" i="10"/>
  <c r="U32" i="10"/>
  <c r="W31" i="10"/>
  <c r="V31" i="10" s="1"/>
  <c r="T31" i="10"/>
  <c r="W32" i="10"/>
  <c r="V32" i="10" s="1"/>
  <c r="U24" i="10"/>
  <c r="T29" i="10"/>
  <c r="U30" i="10"/>
  <c r="I30" i="10" s="1"/>
  <c r="S24" i="10"/>
  <c r="S21" i="10"/>
  <c r="T28" i="10"/>
  <c r="U22" i="10"/>
  <c r="S23" i="10"/>
  <c r="T30" i="10"/>
  <c r="S32" i="10"/>
  <c r="H33" i="10"/>
  <c r="G33" i="10"/>
  <c r="P33" i="10"/>
  <c r="J33" i="10" s="1"/>
  <c r="K33" i="10"/>
  <c r="X18" i="10"/>
  <c r="R18" i="10"/>
  <c r="F18" i="10"/>
  <c r="A18" i="10"/>
  <c r="L18" i="10" s="1"/>
  <c r="F17" i="10"/>
  <c r="A17" i="10"/>
  <c r="AB17" i="10" s="1"/>
  <c r="F16" i="10"/>
  <c r="A16" i="10"/>
  <c r="AC16" i="10" s="1"/>
  <c r="F15" i="10"/>
  <c r="A15" i="10"/>
  <c r="Z15" i="10" s="1"/>
  <c r="F14" i="10"/>
  <c r="A14" i="10"/>
  <c r="AC14" i="10" s="1"/>
  <c r="F13" i="10"/>
  <c r="A13" i="10"/>
  <c r="F12" i="10"/>
  <c r="A12" i="10"/>
  <c r="U12" i="10" s="1"/>
  <c r="F11" i="10"/>
  <c r="A11" i="10"/>
  <c r="U11" i="10" s="1"/>
  <c r="F10" i="10"/>
  <c r="A10" i="10"/>
  <c r="AC10" i="10" s="1"/>
  <c r="F9" i="10"/>
  <c r="A9" i="10"/>
  <c r="AC9" i="10" s="1"/>
  <c r="F8" i="10"/>
  <c r="A8" i="10"/>
  <c r="F7" i="10"/>
  <c r="A7" i="10"/>
  <c r="Y7" i="10" s="1"/>
  <c r="Q6" i="10"/>
  <c r="F6" i="10"/>
  <c r="A6" i="10"/>
  <c r="AC6" i="10" s="1"/>
  <c r="F5" i="10"/>
  <c r="A5" i="10"/>
  <c r="N5" i="10" s="1"/>
  <c r="F4" i="10"/>
  <c r="A4" i="10"/>
  <c r="I45" i="10" l="1"/>
  <c r="AB4" i="10"/>
  <c r="F35" i="13"/>
  <c r="I39" i="10"/>
  <c r="I35" i="10"/>
  <c r="V34" i="10"/>
  <c r="I26" i="10"/>
  <c r="I41" i="10"/>
  <c r="I44" i="10"/>
  <c r="I40" i="10"/>
  <c r="E26" i="10"/>
  <c r="D26" i="10"/>
  <c r="D27" i="10"/>
  <c r="E27" i="10"/>
  <c r="E30" i="10"/>
  <c r="D30" i="10"/>
  <c r="E43" i="10"/>
  <c r="D43" i="10"/>
  <c r="D41" i="10"/>
  <c r="E41" i="10"/>
  <c r="D19" i="10"/>
  <c r="E19" i="10"/>
  <c r="AC33" i="10"/>
  <c r="D32" i="10"/>
  <c r="E32" i="10"/>
  <c r="AC47" i="10"/>
  <c r="E42" i="10"/>
  <c r="D42" i="10"/>
  <c r="E39" i="10"/>
  <c r="D39" i="10"/>
  <c r="D23" i="10"/>
  <c r="E23" i="10"/>
  <c r="E28" i="10"/>
  <c r="D28" i="10"/>
  <c r="D20" i="10"/>
  <c r="E20" i="10"/>
  <c r="D24" i="10"/>
  <c r="E24" i="10"/>
  <c r="E38" i="10"/>
  <c r="D38" i="10"/>
  <c r="E35" i="10"/>
  <c r="D35" i="10"/>
  <c r="E44" i="10"/>
  <c r="D44" i="10"/>
  <c r="E29" i="10"/>
  <c r="D29" i="10"/>
  <c r="D37" i="10"/>
  <c r="E37" i="10"/>
  <c r="E34" i="10"/>
  <c r="D34" i="10"/>
  <c r="D40" i="10"/>
  <c r="E40" i="10"/>
  <c r="E25" i="10"/>
  <c r="D25" i="10"/>
  <c r="D45" i="10"/>
  <c r="E45" i="10"/>
  <c r="E21" i="10"/>
  <c r="D21" i="10"/>
  <c r="E22" i="10"/>
  <c r="D22" i="10"/>
  <c r="D46" i="10"/>
  <c r="E46" i="10"/>
  <c r="E31" i="10"/>
  <c r="D31" i="10"/>
  <c r="D36" i="10"/>
  <c r="E36" i="10"/>
  <c r="I37" i="10"/>
  <c r="I31" i="10"/>
  <c r="I22" i="10"/>
  <c r="I27" i="10"/>
  <c r="I21" i="10"/>
  <c r="I20" i="10"/>
  <c r="S33" i="10"/>
  <c r="I23" i="10"/>
  <c r="I24" i="10"/>
  <c r="I32" i="10"/>
  <c r="T33" i="10"/>
  <c r="I28" i="10"/>
  <c r="V19" i="10"/>
  <c r="W33" i="10"/>
  <c r="V33" i="10" s="1"/>
  <c r="T47" i="10"/>
  <c r="I34" i="10"/>
  <c r="I43" i="10"/>
  <c r="I38" i="10"/>
  <c r="I19" i="10"/>
  <c r="U33" i="10"/>
  <c r="I46" i="10"/>
  <c r="I42" i="10"/>
  <c r="S47" i="10"/>
  <c r="W47" i="10"/>
  <c r="V47" i="10" s="1"/>
  <c r="U47" i="10"/>
  <c r="AB6" i="10"/>
  <c r="D6" i="10" s="1"/>
  <c r="M6" i="10"/>
  <c r="T11" i="10"/>
  <c r="Z6" i="10"/>
  <c r="M11" i="10"/>
  <c r="L12" i="10"/>
  <c r="AB10" i="10"/>
  <c r="D10" i="10" s="1"/>
  <c r="Y9" i="10"/>
  <c r="U6" i="10"/>
  <c r="AB9" i="10"/>
  <c r="D9" i="10" s="1"/>
  <c r="Z11" i="10"/>
  <c r="Y12" i="10"/>
  <c r="M9" i="10"/>
  <c r="O9" i="10"/>
  <c r="L14" i="10"/>
  <c r="S14" i="10"/>
  <c r="AA14" i="10"/>
  <c r="G14" i="10" s="1"/>
  <c r="U4" i="10"/>
  <c r="L6" i="10"/>
  <c r="S6" i="10"/>
  <c r="AA6" i="10"/>
  <c r="G6" i="10" s="1"/>
  <c r="L10" i="10"/>
  <c r="Q10" i="10"/>
  <c r="P10" i="10" s="1"/>
  <c r="W10" i="10"/>
  <c r="V10" i="10" s="1"/>
  <c r="O11" i="10"/>
  <c r="AC11" i="10"/>
  <c r="O12" i="10"/>
  <c r="AB12" i="10"/>
  <c r="M14" i="10"/>
  <c r="U14" i="10"/>
  <c r="AB14" i="10"/>
  <c r="D14" i="10" s="1"/>
  <c r="S4" i="10"/>
  <c r="AC5" i="10"/>
  <c r="L4" i="10"/>
  <c r="Y4" i="10"/>
  <c r="Q5" i="10"/>
  <c r="P5" i="10" s="1"/>
  <c r="J5" i="10" s="1"/>
  <c r="M10" i="10"/>
  <c r="S10" i="10"/>
  <c r="Z10" i="10"/>
  <c r="N14" i="10"/>
  <c r="W14" i="10"/>
  <c r="V14" i="10" s="1"/>
  <c r="S12" i="10"/>
  <c r="I12" i="10" s="1"/>
  <c r="O4" i="10"/>
  <c r="W5" i="10"/>
  <c r="V5" i="10" s="1"/>
  <c r="N6" i="10"/>
  <c r="K6" i="10" s="1"/>
  <c r="W6" i="10"/>
  <c r="V6" i="10" s="1"/>
  <c r="S9" i="10"/>
  <c r="N10" i="10"/>
  <c r="U10" i="10"/>
  <c r="AA10" i="10"/>
  <c r="Q14" i="10"/>
  <c r="P14" i="10" s="1"/>
  <c r="Z14" i="10"/>
  <c r="L7" i="10"/>
  <c r="AA8" i="10"/>
  <c r="Q8" i="10"/>
  <c r="M8" i="10"/>
  <c r="N8" i="10"/>
  <c r="T8" i="10"/>
  <c r="Z8" i="10"/>
  <c r="Z13" i="10"/>
  <c r="U13" i="10"/>
  <c r="L13" i="10"/>
  <c r="N13" i="10"/>
  <c r="T13" i="10"/>
  <c r="AA13" i="10"/>
  <c r="AB7" i="10"/>
  <c r="W7" i="10"/>
  <c r="V7" i="10" s="1"/>
  <c r="S7" i="10"/>
  <c r="N7" i="10"/>
  <c r="Q7" i="10"/>
  <c r="AA4" i="10"/>
  <c r="Q4" i="10"/>
  <c r="M4" i="10"/>
  <c r="W4" i="10"/>
  <c r="AC4" i="10"/>
  <c r="D4" i="10" s="1"/>
  <c r="M5" i="10"/>
  <c r="S5" i="10"/>
  <c r="Y5" i="10"/>
  <c r="M7" i="10"/>
  <c r="T7" i="10"/>
  <c r="Z7" i="10"/>
  <c r="O8" i="10"/>
  <c r="U8" i="10"/>
  <c r="AB8" i="10"/>
  <c r="Q9" i="10"/>
  <c r="W9" i="10"/>
  <c r="V9" i="10" s="1"/>
  <c r="AB11" i="10"/>
  <c r="W11" i="10"/>
  <c r="V11" i="10" s="1"/>
  <c r="S11" i="10"/>
  <c r="I11" i="10" s="1"/>
  <c r="N11" i="10"/>
  <c r="L11" i="10"/>
  <c r="Q11" i="10"/>
  <c r="Y11" i="10"/>
  <c r="AA12" i="10"/>
  <c r="Q12" i="10"/>
  <c r="M12" i="10"/>
  <c r="N12" i="10"/>
  <c r="T12" i="10"/>
  <c r="Z12" i="10"/>
  <c r="O13" i="10"/>
  <c r="AB13" i="10"/>
  <c r="AA7" i="10"/>
  <c r="Q13" i="10"/>
  <c r="W13" i="10"/>
  <c r="V13" i="10" s="1"/>
  <c r="AC13" i="10"/>
  <c r="Z5" i="10"/>
  <c r="U5" i="10"/>
  <c r="L5" i="10"/>
  <c r="T5" i="10"/>
  <c r="AA5" i="10"/>
  <c r="O7" i="10"/>
  <c r="U7" i="10"/>
  <c r="W8" i="10"/>
  <c r="V8" i="10" s="1"/>
  <c r="AC8" i="10"/>
  <c r="N4" i="10"/>
  <c r="T4" i="10"/>
  <c r="Z4" i="10"/>
  <c r="O5" i="10"/>
  <c r="AB5" i="10"/>
  <c r="P6" i="10"/>
  <c r="AC7" i="10"/>
  <c r="L8" i="10"/>
  <c r="S8" i="10"/>
  <c r="Y8" i="10"/>
  <c r="Z9" i="10"/>
  <c r="U9" i="10"/>
  <c r="L9" i="10"/>
  <c r="N9" i="10"/>
  <c r="T9" i="10"/>
  <c r="AA9" i="10"/>
  <c r="AA11" i="10"/>
  <c r="W12" i="10"/>
  <c r="V12" i="10" s="1"/>
  <c r="AC12" i="10"/>
  <c r="M13" i="10"/>
  <c r="S13" i="10"/>
  <c r="Y13" i="10"/>
  <c r="M15" i="10"/>
  <c r="Q15" i="10"/>
  <c r="AA15" i="10"/>
  <c r="L16" i="10"/>
  <c r="U16" i="10"/>
  <c r="Z16" i="10"/>
  <c r="O17" i="10"/>
  <c r="T17" i="10"/>
  <c r="Y17" i="10"/>
  <c r="AC17" i="10"/>
  <c r="D17" i="10" s="1"/>
  <c r="O6" i="10"/>
  <c r="T6" i="10"/>
  <c r="Y6" i="10"/>
  <c r="O10" i="10"/>
  <c r="T10" i="10"/>
  <c r="Y10" i="10"/>
  <c r="O14" i="10"/>
  <c r="T14" i="10"/>
  <c r="Y14" i="10"/>
  <c r="N15" i="10"/>
  <c r="S15" i="10"/>
  <c r="W15" i="10"/>
  <c r="V15" i="10" s="1"/>
  <c r="AB15" i="10"/>
  <c r="M16" i="10"/>
  <c r="Q16" i="10"/>
  <c r="AA16" i="10"/>
  <c r="L17" i="10"/>
  <c r="U17" i="10"/>
  <c r="Z17" i="10"/>
  <c r="O15" i="10"/>
  <c r="T15" i="10"/>
  <c r="Y15" i="10"/>
  <c r="AC15" i="10"/>
  <c r="N16" i="10"/>
  <c r="S16" i="10"/>
  <c r="W16" i="10"/>
  <c r="V16" i="10" s="1"/>
  <c r="AB16" i="10"/>
  <c r="D16" i="10" s="1"/>
  <c r="M17" i="10"/>
  <c r="Q17" i="10"/>
  <c r="AA17" i="10"/>
  <c r="L15" i="10"/>
  <c r="U15" i="10"/>
  <c r="O16" i="10"/>
  <c r="T16" i="10"/>
  <c r="Y16" i="10"/>
  <c r="N17" i="10"/>
  <c r="S17" i="10"/>
  <c r="W17" i="10"/>
  <c r="V17" i="10" s="1"/>
  <c r="H6" i="10" l="1"/>
  <c r="I33" i="10"/>
  <c r="I47" i="10"/>
  <c r="E33" i="10"/>
  <c r="D33" i="10"/>
  <c r="D47" i="10"/>
  <c r="E47" i="10"/>
  <c r="H11" i="10"/>
  <c r="I6" i="10"/>
  <c r="D12" i="10"/>
  <c r="I9" i="10"/>
  <c r="J6" i="10"/>
  <c r="D5" i="10"/>
  <c r="I15" i="10"/>
  <c r="H9" i="10"/>
  <c r="H15" i="10"/>
  <c r="I5" i="10"/>
  <c r="I4" i="10"/>
  <c r="E6" i="10"/>
  <c r="D11" i="10"/>
  <c r="I7" i="10"/>
  <c r="I10" i="10"/>
  <c r="I14" i="10"/>
  <c r="H10" i="10"/>
  <c r="H14" i="10"/>
  <c r="H5" i="10"/>
  <c r="K5" i="10"/>
  <c r="H7" i="10"/>
  <c r="H8" i="10"/>
  <c r="K14" i="10"/>
  <c r="H12" i="10"/>
  <c r="K10" i="10"/>
  <c r="H16" i="10"/>
  <c r="H4" i="10"/>
  <c r="S18" i="10"/>
  <c r="J14" i="10"/>
  <c r="J10" i="10"/>
  <c r="Y18" i="10"/>
  <c r="G10" i="10"/>
  <c r="E10" i="10"/>
  <c r="E14" i="10"/>
  <c r="P17" i="10"/>
  <c r="J17" i="10" s="1"/>
  <c r="K17" i="10"/>
  <c r="D15" i="10"/>
  <c r="H17" i="10"/>
  <c r="G15" i="10"/>
  <c r="E15" i="10"/>
  <c r="E11" i="10"/>
  <c r="G11" i="10"/>
  <c r="T18" i="10"/>
  <c r="U18" i="10"/>
  <c r="E12" i="10"/>
  <c r="G12" i="10"/>
  <c r="I8" i="10"/>
  <c r="AC18" i="10"/>
  <c r="AA18" i="10"/>
  <c r="E4" i="10"/>
  <c r="G4" i="10"/>
  <c r="AB18" i="10"/>
  <c r="G16" i="10"/>
  <c r="E16" i="10"/>
  <c r="P15" i="10"/>
  <c r="J15" i="10" s="1"/>
  <c r="K15" i="10"/>
  <c r="G9" i="10"/>
  <c r="E9" i="10"/>
  <c r="N18" i="10"/>
  <c r="E7" i="10"/>
  <c r="G7" i="10"/>
  <c r="D13" i="10"/>
  <c r="W18" i="10"/>
  <c r="V18" i="10" s="1"/>
  <c r="V4" i="10"/>
  <c r="P8" i="10"/>
  <c r="J8" i="10" s="1"/>
  <c r="K8" i="10"/>
  <c r="K16" i="10"/>
  <c r="P16" i="10"/>
  <c r="J16" i="10" s="1"/>
  <c r="I16" i="10"/>
  <c r="O18" i="10"/>
  <c r="H13" i="10"/>
  <c r="P11" i="10"/>
  <c r="J11" i="10" s="1"/>
  <c r="K11" i="10"/>
  <c r="P9" i="10"/>
  <c r="J9" i="10" s="1"/>
  <c r="K9" i="10"/>
  <c r="M18" i="10"/>
  <c r="P7" i="10"/>
  <c r="J7" i="10" s="1"/>
  <c r="K7" i="10"/>
  <c r="D7" i="10"/>
  <c r="E8" i="10"/>
  <c r="G8" i="10"/>
  <c r="E17" i="10"/>
  <c r="G17" i="10"/>
  <c r="I17" i="10"/>
  <c r="Z18" i="10"/>
  <c r="E5" i="10"/>
  <c r="G5" i="10"/>
  <c r="P13" i="10"/>
  <c r="J13" i="10" s="1"/>
  <c r="K13" i="10"/>
  <c r="P12" i="10"/>
  <c r="J12" i="10" s="1"/>
  <c r="K12" i="10"/>
  <c r="D8" i="10"/>
  <c r="Q18" i="10"/>
  <c r="P4" i="10"/>
  <c r="J4" i="10" s="1"/>
  <c r="K4" i="10"/>
  <c r="G13" i="10"/>
  <c r="E13" i="10"/>
  <c r="I13" i="10"/>
  <c r="I18" i="10" l="1"/>
  <c r="D18" i="10"/>
  <c r="H18" i="10"/>
  <c r="P18" i="10"/>
  <c r="J18" i="10" s="1"/>
  <c r="K18" i="10"/>
  <c r="E18" i="10"/>
  <c r="G18" i="10"/>
  <c r="AE6" i="14" l="1"/>
  <c r="B9" i="23" l="1"/>
  <c r="B8" i="23"/>
  <c r="B7" i="23"/>
  <c r="B6" i="23"/>
  <c r="B5" i="23"/>
  <c r="B4" i="23"/>
  <c r="B3" i="23"/>
  <c r="B2" i="23"/>
  <c r="B10" i="13" l="1"/>
  <c r="B9" i="13" l="1"/>
  <c r="AE25" i="14" l="1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K25" i="14"/>
  <c r="J25" i="14"/>
  <c r="D25" i="14"/>
  <c r="C25" i="14"/>
  <c r="N25" i="14" l="1"/>
  <c r="M25" i="14" l="1"/>
  <c r="L25" i="14" l="1"/>
  <c r="F8" i="13" l="1"/>
  <c r="F4" i="13"/>
  <c r="F14" i="13"/>
  <c r="F9" i="13" l="1"/>
  <c r="F16" i="13"/>
  <c r="F13" i="13"/>
  <c r="F7" i="13"/>
  <c r="F17" i="13"/>
  <c r="F11" i="13"/>
  <c r="F6" i="13"/>
  <c r="F10" i="13"/>
  <c r="F12" i="13"/>
  <c r="F15" i="13"/>
  <c r="F5" i="13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D30" i="14"/>
  <c r="C30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G35" i="14"/>
  <c r="F35" i="14"/>
  <c r="E35" i="14"/>
  <c r="D35" i="14"/>
  <c r="C35" i="14"/>
  <c r="B35" i="14"/>
  <c r="I25" i="14" l="1"/>
  <c r="I35" i="14"/>
  <c r="N8" i="13" l="1"/>
  <c r="N7" i="13"/>
  <c r="N14" i="13"/>
  <c r="N10" i="13"/>
  <c r="N15" i="13"/>
  <c r="N11" i="13"/>
  <c r="N6" i="13"/>
  <c r="N5" i="13"/>
  <c r="N9" i="13"/>
  <c r="N17" i="13"/>
  <c r="N12" i="13"/>
  <c r="N13" i="13"/>
  <c r="N4" i="13"/>
  <c r="N16" i="13"/>
  <c r="P15" i="13" l="1"/>
  <c r="P14" i="13" s="1"/>
  <c r="P13" i="13" s="1"/>
  <c r="P12" i="13" s="1"/>
  <c r="P11" i="13" s="1"/>
  <c r="P10" i="13" s="1"/>
  <c r="P9" i="13" s="1"/>
  <c r="P8" i="13" s="1"/>
  <c r="P7" i="13" s="1"/>
  <c r="P6" i="13" s="1"/>
  <c r="P5" i="13" s="1"/>
  <c r="P4" i="13" s="1"/>
  <c r="H30" i="14" l="1"/>
  <c r="H25" i="14" l="1"/>
  <c r="H35" i="14" l="1"/>
  <c r="G25" i="14"/>
  <c r="F30" i="14"/>
  <c r="F25" i="14" l="1"/>
  <c r="E30" i="14"/>
  <c r="F21" i="14" l="1"/>
  <c r="E25" i="14"/>
  <c r="B30" i="14" l="1"/>
  <c r="J35" i="13" l="1"/>
  <c r="J32" i="13"/>
  <c r="J28" i="13"/>
  <c r="J23" i="13"/>
  <c r="J24" i="13"/>
  <c r="J25" i="13"/>
  <c r="J13" i="13"/>
  <c r="J30" i="13"/>
  <c r="J27" i="13"/>
  <c r="J31" i="13"/>
  <c r="J22" i="13"/>
  <c r="J26" i="13"/>
  <c r="J29" i="13"/>
  <c r="J4" i="13"/>
  <c r="AD16" i="14"/>
  <c r="Z16" i="14"/>
  <c r="V16" i="14"/>
  <c r="R16" i="14"/>
  <c r="N16" i="14"/>
  <c r="J16" i="14"/>
  <c r="F16" i="14"/>
  <c r="AB11" i="14"/>
  <c r="X11" i="14"/>
  <c r="T11" i="14"/>
  <c r="P11" i="14"/>
  <c r="L11" i="14"/>
  <c r="H11" i="14"/>
  <c r="D11" i="14"/>
  <c r="AD6" i="14"/>
  <c r="Z6" i="14"/>
  <c r="V6" i="14"/>
  <c r="R6" i="14"/>
  <c r="N6" i="14"/>
  <c r="J6" i="14"/>
  <c r="F6" i="14"/>
  <c r="AC16" i="14"/>
  <c r="Y16" i="14"/>
  <c r="U16" i="14"/>
  <c r="Q16" i="14"/>
  <c r="M16" i="14"/>
  <c r="AE11" i="14"/>
  <c r="AA11" i="14"/>
  <c r="W11" i="14"/>
  <c r="S11" i="14"/>
  <c r="O11" i="14"/>
  <c r="K11" i="14"/>
  <c r="G11" i="14"/>
  <c r="C11" i="14"/>
  <c r="AC6" i="14"/>
  <c r="Y6" i="14"/>
  <c r="U6" i="14"/>
  <c r="Q6" i="14"/>
  <c r="M6" i="14"/>
  <c r="I6" i="14"/>
  <c r="E6" i="14"/>
  <c r="AB16" i="14"/>
  <c r="X16" i="14"/>
  <c r="T16" i="14"/>
  <c r="P16" i="14"/>
  <c r="L16" i="14"/>
  <c r="AD11" i="14"/>
  <c r="Z11" i="14"/>
  <c r="V11" i="14"/>
  <c r="R11" i="14"/>
  <c r="N11" i="14"/>
  <c r="J11" i="14"/>
  <c r="F11" i="14"/>
  <c r="AB6" i="14"/>
  <c r="X6" i="14"/>
  <c r="T6" i="14"/>
  <c r="P6" i="14"/>
  <c r="L6" i="14"/>
  <c r="H6" i="14"/>
  <c r="D6" i="14"/>
  <c r="AE16" i="14"/>
  <c r="AA16" i="14"/>
  <c r="W16" i="14"/>
  <c r="S16" i="14"/>
  <c r="O16" i="14"/>
  <c r="K16" i="14"/>
  <c r="AC11" i="14"/>
  <c r="Y11" i="14"/>
  <c r="U11" i="14"/>
  <c r="Q11" i="14"/>
  <c r="M11" i="14"/>
  <c r="I11" i="14"/>
  <c r="E11" i="14"/>
  <c r="AA6" i="14"/>
  <c r="W6" i="14"/>
  <c r="S6" i="14"/>
  <c r="O6" i="14"/>
  <c r="K6" i="14"/>
  <c r="G6" i="14"/>
  <c r="C6" i="14"/>
  <c r="D16" i="14" l="1"/>
  <c r="H16" i="14"/>
  <c r="I16" i="14"/>
  <c r="G16" i="14"/>
  <c r="C16" i="14"/>
  <c r="G21" i="14"/>
  <c r="I21" i="14"/>
  <c r="D21" i="14"/>
  <c r="C21" i="14"/>
  <c r="H21" i="14"/>
  <c r="J21" i="14"/>
  <c r="J33" i="13"/>
  <c r="E21" i="14"/>
  <c r="B6" i="14"/>
  <c r="B11" i="14"/>
  <c r="J34" i="13" l="1"/>
  <c r="B16" i="14"/>
  <c r="E16" i="14"/>
  <c r="B21" i="14"/>
  <c r="B14" i="13"/>
  <c r="B5" i="13" l="1"/>
  <c r="B17" i="13"/>
  <c r="B13" i="13"/>
  <c r="B6" i="13"/>
  <c r="B12" i="13"/>
  <c r="B8" i="13"/>
  <c r="B15" i="13"/>
  <c r="B7" i="13"/>
  <c r="B4" i="13"/>
  <c r="B11" i="13"/>
  <c r="B16" i="13"/>
  <c r="D15" i="13" l="1"/>
  <c r="D14" i="13" l="1"/>
  <c r="D13" i="13" l="1"/>
  <c r="D12" i="13" l="1"/>
  <c r="D11" i="13" l="1"/>
  <c r="D10" i="13" l="1"/>
  <c r="D9" i="13" l="1"/>
  <c r="D8" i="13" l="1"/>
  <c r="D7" i="13" s="1"/>
  <c r="D6" i="13" l="1"/>
  <c r="D5" i="13" l="1"/>
  <c r="D4" i="13" l="1"/>
  <c r="J6" i="13" l="1"/>
  <c r="J12" i="13"/>
  <c r="J14" i="13" l="1"/>
  <c r="J11" i="13"/>
  <c r="J10" i="13"/>
  <c r="J8" i="13"/>
  <c r="J7" i="13"/>
  <c r="J15" i="13"/>
  <c r="J16" i="13"/>
  <c r="J5" i="13"/>
  <c r="J9" i="13"/>
  <c r="K33" i="13" l="1"/>
  <c r="J17" i="13"/>
  <c r="K32" i="13" l="1"/>
  <c r="K31" i="13" s="1"/>
  <c r="K30" i="13" s="1"/>
  <c r="K29" i="13" s="1"/>
  <c r="K28" i="13" s="1"/>
  <c r="K27" i="13" s="1"/>
  <c r="L15" i="13"/>
  <c r="K26" i="13" l="1"/>
  <c r="K25" i="13" s="1"/>
  <c r="K24" i="13" s="1"/>
  <c r="L14" i="13"/>
  <c r="K23" i="13" l="1"/>
  <c r="K22" i="13" s="1"/>
  <c r="L13" i="13"/>
  <c r="L12" i="13" l="1"/>
  <c r="L11" i="13" l="1"/>
  <c r="L10" i="13" l="1"/>
  <c r="L9" i="13" s="1"/>
  <c r="L8" i="13" l="1"/>
  <c r="L7" i="13" l="1"/>
  <c r="L6" i="13" s="1"/>
  <c r="L5" i="13" l="1"/>
  <c r="L4" i="13" l="1"/>
  <c r="F30" i="13"/>
  <c r="F28" i="13"/>
  <c r="F22" i="13"/>
  <c r="F26" i="13"/>
  <c r="F25" i="13"/>
  <c r="F29" i="13"/>
  <c r="F23" i="13" l="1"/>
  <c r="F32" i="13"/>
  <c r="F27" i="13"/>
  <c r="F31" i="13"/>
  <c r="F33" i="13"/>
  <c r="F24" i="13"/>
  <c r="B25" i="14" l="1"/>
  <c r="F34" i="13" l="1"/>
  <c r="G30" i="14" l="1"/>
  <c r="H15" i="13" l="1"/>
  <c r="H14" i="13" l="1"/>
  <c r="H13" i="13" l="1"/>
  <c r="H12" i="13" l="1"/>
  <c r="H11" i="13" l="1"/>
  <c r="C24" i="13" s="1"/>
  <c r="H10" i="13" l="1"/>
  <c r="H9" i="13" l="1"/>
  <c r="H8" i="13" l="1"/>
  <c r="H7" i="13" l="1"/>
  <c r="C34" i="13" l="1"/>
  <c r="H6" i="13"/>
  <c r="H5" i="13" l="1"/>
  <c r="H4" i="13" l="1"/>
  <c r="C32" i="13" s="1"/>
  <c r="C22" i="13" l="1"/>
  <c r="C26" i="13"/>
  <c r="C23" i="13"/>
  <c r="C29" i="13" l="1"/>
  <c r="C28" i="13"/>
  <c r="C33" i="13"/>
  <c r="A34" i="13" s="1"/>
  <c r="C30" i="13"/>
  <c r="C27" i="13"/>
  <c r="C25" i="13"/>
  <c r="C31" i="13" l="1"/>
  <c r="A33" i="13" l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</calcChain>
</file>

<file path=xl/sharedStrings.xml><?xml version="1.0" encoding="utf-8"?>
<sst xmlns="http://schemas.openxmlformats.org/spreadsheetml/2006/main" count="787" uniqueCount="96">
  <si>
    <t>Доля ТА, на которых зафикисирован простой</t>
  </si>
  <si>
    <t>ОП</t>
  </si>
  <si>
    <t>Дата</t>
  </si>
  <si>
    <t>% непоступивших из Вендоскопа статистик по выполненным сервисам</t>
  </si>
  <si>
    <t>Белгород</t>
  </si>
  <si>
    <t>Воронеж</t>
  </si>
  <si>
    <t>Калининград</t>
  </si>
  <si>
    <t>Липецк</t>
  </si>
  <si>
    <t>Москва</t>
  </si>
  <si>
    <t>Самара</t>
  </si>
  <si>
    <t>Саратов</t>
  </si>
  <si>
    <t>Тольятти</t>
  </si>
  <si>
    <t>Тула</t>
  </si>
  <si>
    <t>Уфа</t>
  </si>
  <si>
    <t>Ярославль</t>
  </si>
  <si>
    <t>ФС</t>
  </si>
  <si>
    <t>Выпрать ОП:</t>
  </si>
  <si>
    <t>Данные для поиска</t>
  </si>
  <si>
    <t>% непоступивших из вендоскопа статистик по выполненнным сервисам</t>
  </si>
  <si>
    <t>Всего аппаратаов (без афенов)</t>
  </si>
  <si>
    <t>План</t>
  </si>
  <si>
    <t>Доля неотработанных вовремя простоев</t>
  </si>
  <si>
    <t>Категория Х кофе</t>
  </si>
  <si>
    <t>Категория Х снек</t>
  </si>
  <si>
    <t>Доля ТА, на которых зафикисирован простой (категория Х)</t>
  </si>
  <si>
    <t>Доля ТА, на которых зафикисирован простой (без категории Х)</t>
  </si>
  <si>
    <t>Категория Х (Итого)</t>
  </si>
  <si>
    <t>Дата рейтинга:</t>
  </si>
  <si>
    <t>Отчет автоматический</t>
  </si>
  <si>
    <t>Отчет по аппарату (всего)</t>
  </si>
  <si>
    <t>Количество выполненных ремонтов</t>
  </si>
  <si>
    <t>% потерянной по причине простоя выручки</t>
  </si>
  <si>
    <t>ПЛАН (оператор)</t>
  </si>
  <si>
    <t>ФАКТ (оператор)</t>
  </si>
  <si>
    <t>Выполнение плана (оператор)</t>
  </si>
  <si>
    <t>ПЛАН</t>
  </si>
  <si>
    <t>ФАКТ</t>
  </si>
  <si>
    <t>Наб.Челны</t>
  </si>
  <si>
    <t>Нижний Новгород</t>
  </si>
  <si>
    <t>Старый Оскол</t>
  </si>
  <si>
    <t>СПРАВОЧНО:</t>
  </si>
  <si>
    <t>Показатель 1</t>
  </si>
  <si>
    <t>Показатель 2</t>
  </si>
  <si>
    <t>Показатель 3</t>
  </si>
  <si>
    <t>% НЕ ПОСТУПИВШИХ из вендоскопа статистик по выполненным сервисам</t>
  </si>
  <si>
    <t>Отчет ручной (НЕ АКТУАЛЬНО) - показатель по статистикам исключен</t>
  </si>
  <si>
    <t>Кол-во выполненных техниками ремонтов ТА</t>
  </si>
  <si>
    <t>Ремонт на 100 ТА (НЕ АКТУАЛЬНО)</t>
  </si>
  <si>
    <t>Доля неработоспособных модемов на точке (давно не на связи)</t>
  </si>
  <si>
    <t>Кол-во ремонтов
(техники)</t>
  </si>
  <si>
    <t>Техник</t>
  </si>
  <si>
    <t>Вендоскоп</t>
  </si>
  <si>
    <t>Выборка ТА</t>
  </si>
  <si>
    <t>Выполнение</t>
  </si>
  <si>
    <t>Простои</t>
  </si>
  <si>
    <t>% непоступивших статистик (автоматический)</t>
  </si>
  <si>
    <t>Давно не на связи</t>
  </si>
  <si>
    <t>Всего аппаратов</t>
  </si>
  <si>
    <t>Не отработаны вовремя простои</t>
  </si>
  <si>
    <t>План ремонтов
(техники)</t>
  </si>
  <si>
    <t>Город</t>
  </si>
  <si>
    <t>Кол-во ТА  без связи</t>
  </si>
  <si>
    <t>Код</t>
  </si>
  <si>
    <t>№ в таблице</t>
  </si>
  <si>
    <t>Кол-во ТА</t>
  </si>
  <si>
    <t>% потерянной выручки</t>
  </si>
  <si>
    <t>Отчет "i"</t>
  </si>
  <si>
    <t>Выполнение плана</t>
  </si>
  <si>
    <t>Период на квартал</t>
  </si>
  <si>
    <t>Показатель 4</t>
  </si>
  <si>
    <t>1. Доля неработоспособных модемов на точках 
(давно не на связи)</t>
  </si>
  <si>
    <t>2 .% потерянной по причине простоя выручки</t>
  </si>
  <si>
    <t>3. % выполнения плановых сервисов операторами</t>
  </si>
  <si>
    <t>Оператор (Все ТА)</t>
  </si>
  <si>
    <t>Оператор (КУ)</t>
  </si>
  <si>
    <t>4. % выполнения плановых сервисов операторами КУ</t>
  </si>
  <si>
    <t>Рейтинг подразделений по 4 показателям</t>
  </si>
  <si>
    <t>1. Доля неработоспособных модемов на точка (давно не на связи)</t>
  </si>
  <si>
    <t>2. % потерянной по причине простоя выручки</t>
  </si>
  <si>
    <t>3. % Выполнения плановых сервисов операторами</t>
  </si>
  <si>
    <t>3. % Выполнения плановых сервисов операторами (Все ТА)</t>
  </si>
  <si>
    <t>% Выполнения плановых сервисов операторами (Все ТА)</t>
  </si>
  <si>
    <t>% Выполнения плановых сервисов операторами (КУ)</t>
  </si>
  <si>
    <t>4. % Выполнения плановых сервисов операторами (КУ)</t>
  </si>
  <si>
    <t>4. % Выполнения плановых сервисов операторами</t>
  </si>
  <si>
    <t>Диапазон</t>
  </si>
  <si>
    <t>Выкладка</t>
  </si>
  <si>
    <t>1.1. Операторы_(1С) (Все ТА)</t>
  </si>
  <si>
    <t>Источник Рейтинг</t>
  </si>
  <si>
    <t>1.2. Операторы_(1С) (КУ)</t>
  </si>
  <si>
    <t>2. Техники_(1С)</t>
  </si>
  <si>
    <t>3. %_потер_выручки_(1С)</t>
  </si>
  <si>
    <t>4. Кол-во_ТА_(1С)</t>
  </si>
  <si>
    <t>5. ТА_без_связи_(Вин)</t>
  </si>
  <si>
    <t>6. Простои_(Вин)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</si>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</sst>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%"/>
    <numFmt numFmtId="166" formatCode="[$-419]d\ mmm;@"/>
    <numFmt numFmtId="167" formatCode="#,##0_ ;[Red]\-#,##0\ "/>
    <numFmt numFmtId="168" formatCode="#,##0.0000_ ;[Red]\-#,##0.00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9">
    <xf numFmtId="0" fontId="0" fillId="0" borderId="0"/>
    <xf numFmtId="0" fontId="7" fillId="0" borderId="0"/>
    <xf numFmtId="9" fontId="7" fillId="0" borderId="0" applyFont="0" applyFill="0" applyBorder="0" applyAlignment="0" applyProtection="0"/>
    <xf numFmtId="0" fontId="2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" fillId="0" borderId="0"/>
  </cellStyleXfs>
  <cellXfs count="196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/>
    <xf numFmtId="165" fontId="0" fillId="0" borderId="0" xfId="0" applyNumberFormat="1"/>
    <xf numFmtId="0" fontId="0" fillId="0" borderId="1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vertical="center"/>
    </xf>
    <xf numFmtId="4" fontId="0" fillId="0" borderId="0" xfId="0" applyNumberFormat="1"/>
    <xf numFmtId="0" fontId="0" fillId="0" borderId="0" xfId="0" applyFill="1"/>
    <xf numFmtId="0" fontId="9" fillId="0" borderId="0" xfId="0" applyFont="1"/>
    <xf numFmtId="165" fontId="0" fillId="0" borderId="0" xfId="2" applyNumberFormat="1" applyFont="1"/>
    <xf numFmtId="0" fontId="4" fillId="2" borderId="0" xfId="0" applyFont="1" applyFill="1" applyAlignment="1"/>
    <xf numFmtId="0" fontId="4" fillId="3" borderId="0" xfId="0" applyFont="1" applyFill="1" applyAlignment="1"/>
    <xf numFmtId="0" fontId="4" fillId="4" borderId="0" xfId="0" applyFont="1" applyFill="1" applyAlignment="1"/>
    <xf numFmtId="0" fontId="5" fillId="5" borderId="0" xfId="0" applyFont="1" applyFill="1" applyAlignment="1"/>
    <xf numFmtId="0" fontId="5" fillId="7" borderId="0" xfId="0" applyFont="1" applyFill="1" applyAlignment="1"/>
    <xf numFmtId="0" fontId="5" fillId="10" borderId="0" xfId="0" applyFont="1" applyFill="1" applyAlignment="1"/>
    <xf numFmtId="0" fontId="0" fillId="0" borderId="0" xfId="0" applyAlignment="1">
      <alignment horizontal="center" vertical="center"/>
    </xf>
    <xf numFmtId="9" fontId="2" fillId="0" borderId="0" xfId="2" applyFont="1"/>
    <xf numFmtId="0" fontId="0" fillId="0" borderId="0" xfId="0" applyFill="1" applyAlignment="1">
      <alignment vertical="center" wrapText="1"/>
    </xf>
    <xf numFmtId="0" fontId="10" fillId="0" borderId="0" xfId="0" applyFont="1"/>
    <xf numFmtId="0" fontId="12" fillId="0" borderId="0" xfId="0" applyFont="1"/>
    <xf numFmtId="9" fontId="0" fillId="0" borderId="0" xfId="2" applyFont="1"/>
    <xf numFmtId="0" fontId="6" fillId="0" borderId="0" xfId="0" applyFont="1" applyFill="1"/>
    <xf numFmtId="0" fontId="12" fillId="0" borderId="0" xfId="0" applyFont="1" applyAlignment="1">
      <alignment horizontal="center"/>
    </xf>
    <xf numFmtId="0" fontId="11" fillId="0" borderId="0" xfId="0" applyFont="1" applyFill="1" applyAlignment="1">
      <alignment vertical="center" wrapText="1"/>
    </xf>
    <xf numFmtId="0" fontId="11" fillId="0" borderId="0" xfId="0" applyFont="1" applyFill="1" applyAlignment="1">
      <alignment vertical="center"/>
    </xf>
    <xf numFmtId="0" fontId="0" fillId="0" borderId="3" xfId="0" applyBorder="1"/>
    <xf numFmtId="0" fontId="0" fillId="2" borderId="3" xfId="0" applyFill="1" applyBorder="1"/>
    <xf numFmtId="166" fontId="0" fillId="0" borderId="0" xfId="0" applyNumberFormat="1"/>
    <xf numFmtId="0" fontId="0" fillId="2" borderId="0" xfId="0" applyFill="1"/>
    <xf numFmtId="10" fontId="0" fillId="2" borderId="0" xfId="0" applyNumberFormat="1" applyFill="1"/>
    <xf numFmtId="167" fontId="0" fillId="2" borderId="0" xfId="0" applyNumberFormat="1" applyFill="1"/>
    <xf numFmtId="0" fontId="8" fillId="0" borderId="0" xfId="0" applyFont="1" applyFill="1"/>
    <xf numFmtId="10" fontId="8" fillId="0" borderId="0" xfId="0" applyNumberFormat="1" applyFont="1" applyFill="1"/>
    <xf numFmtId="0" fontId="14" fillId="0" borderId="0" xfId="0" applyFont="1"/>
    <xf numFmtId="0" fontId="0" fillId="0" borderId="3" xfId="0" applyFill="1" applyBorder="1" applyAlignment="1">
      <alignment horizontal="center" vertical="center" wrapText="1"/>
    </xf>
    <xf numFmtId="9" fontId="0" fillId="0" borderId="0" xfId="2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5" xfId="0" applyFill="1" applyBorder="1"/>
    <xf numFmtId="0" fontId="0" fillId="0" borderId="5" xfId="0" applyBorder="1"/>
    <xf numFmtId="0" fontId="11" fillId="4" borderId="4" xfId="0" applyFont="1" applyFill="1" applyBorder="1"/>
    <xf numFmtId="0" fontId="0" fillId="2" borderId="6" xfId="0" applyFill="1" applyBorder="1"/>
    <xf numFmtId="0" fontId="0" fillId="0" borderId="6" xfId="0" applyBorder="1"/>
    <xf numFmtId="0" fontId="0" fillId="4" borderId="4" xfId="0" applyFill="1" applyBorder="1"/>
    <xf numFmtId="0" fontId="0" fillId="0" borderId="8" xfId="0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10" xfId="0" applyNumberFormat="1" applyBorder="1"/>
    <xf numFmtId="14" fontId="0" fillId="0" borderId="9" xfId="0" applyNumberFormat="1" applyBorder="1"/>
    <xf numFmtId="14" fontId="13" fillId="4" borderId="11" xfId="0" applyNumberFormat="1" applyFont="1" applyFill="1" applyBorder="1"/>
    <xf numFmtId="0" fontId="0" fillId="0" borderId="8" xfId="0" applyBorder="1"/>
    <xf numFmtId="0" fontId="0" fillId="0" borderId="12" xfId="0" applyBorder="1"/>
    <xf numFmtId="0" fontId="11" fillId="0" borderId="22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9" fontId="0" fillId="0" borderId="25" xfId="2" applyFont="1" applyBorder="1" applyAlignment="1">
      <alignment vertical="center"/>
    </xf>
    <xf numFmtId="0" fontId="0" fillId="0" borderId="25" xfId="0" applyBorder="1" applyAlignment="1">
      <alignment vertical="center"/>
    </xf>
    <xf numFmtId="165" fontId="0" fillId="13" borderId="26" xfId="0" applyNumberFormat="1" applyFill="1" applyBorder="1" applyAlignment="1">
      <alignment horizontal="center" vertical="center" wrapText="1"/>
    </xf>
    <xf numFmtId="165" fontId="0" fillId="0" borderId="26" xfId="0" applyNumberFormat="1" applyBorder="1"/>
    <xf numFmtId="165" fontId="13" fillId="4" borderId="29" xfId="0" applyNumberFormat="1" applyFont="1" applyFill="1" applyBorder="1"/>
    <xf numFmtId="0" fontId="0" fillId="0" borderId="10" xfId="0" applyBorder="1"/>
    <xf numFmtId="0" fontId="0" fillId="0" borderId="9" xfId="0" applyBorder="1"/>
    <xf numFmtId="0" fontId="13" fillId="4" borderId="11" xfId="0" applyFont="1" applyFill="1" applyBorder="1"/>
    <xf numFmtId="0" fontId="0" fillId="0" borderId="12" xfId="0" applyFill="1" applyBorder="1" applyAlignment="1">
      <alignment horizontal="center" vertical="center" wrapText="1"/>
    </xf>
    <xf numFmtId="0" fontId="11" fillId="2" borderId="24" xfId="0" applyFont="1" applyFill="1" applyBorder="1" applyAlignment="1">
      <alignment horizontal="center" vertical="center" wrapText="1"/>
    </xf>
    <xf numFmtId="168" fontId="0" fillId="0" borderId="14" xfId="0" applyNumberFormat="1" applyFill="1" applyBorder="1" applyAlignment="1">
      <alignment horizontal="center" vertical="center" wrapText="1"/>
    </xf>
    <xf numFmtId="168" fontId="0" fillId="0" borderId="3" xfId="0" applyNumberFormat="1" applyFill="1" applyBorder="1" applyAlignment="1">
      <alignment horizontal="center" vertical="center" wrapText="1"/>
    </xf>
    <xf numFmtId="168" fontId="0" fillId="0" borderId="15" xfId="0" applyNumberFormat="1" applyFill="1" applyBorder="1" applyAlignment="1">
      <alignment horizontal="center" vertical="center" wrapText="1"/>
    </xf>
    <xf numFmtId="168" fontId="0" fillId="0" borderId="14" xfId="0" applyNumberFormat="1" applyBorder="1"/>
    <xf numFmtId="168" fontId="0" fillId="0" borderId="3" xfId="0" applyNumberFormat="1" applyBorder="1"/>
    <xf numFmtId="168" fontId="0" fillId="0" borderId="15" xfId="0" applyNumberFormat="1" applyBorder="1"/>
    <xf numFmtId="168" fontId="0" fillId="2" borderId="18" xfId="0" applyNumberFormat="1" applyFill="1" applyBorder="1"/>
    <xf numFmtId="168" fontId="0" fillId="2" borderId="6" xfId="0" applyNumberFormat="1" applyFill="1" applyBorder="1"/>
    <xf numFmtId="168" fontId="0" fillId="2" borderId="19" xfId="0" applyNumberFormat="1" applyFill="1" applyBorder="1"/>
    <xf numFmtId="168" fontId="0" fillId="2" borderId="14" xfId="0" applyNumberFormat="1" applyFill="1" applyBorder="1"/>
    <xf numFmtId="168" fontId="0" fillId="2" borderId="3" xfId="0" applyNumberFormat="1" applyFill="1" applyBorder="1"/>
    <xf numFmtId="168" fontId="0" fillId="2" borderId="15" xfId="0" applyNumberFormat="1" applyFill="1" applyBorder="1"/>
    <xf numFmtId="168" fontId="0" fillId="2" borderId="16" xfId="0" applyNumberFormat="1" applyFill="1" applyBorder="1"/>
    <xf numFmtId="168" fontId="0" fillId="2" borderId="5" xfId="0" applyNumberFormat="1" applyFill="1" applyBorder="1"/>
    <xf numFmtId="168" fontId="0" fillId="2" borderId="17" xfId="0" applyNumberFormat="1" applyFill="1" applyBorder="1"/>
    <xf numFmtId="168" fontId="0" fillId="4" borderId="20" xfId="0" applyNumberFormat="1" applyFill="1" applyBorder="1"/>
    <xf numFmtId="168" fontId="0" fillId="4" borderId="4" xfId="0" applyNumberFormat="1" applyFill="1" applyBorder="1"/>
    <xf numFmtId="168" fontId="13" fillId="4" borderId="4" xfId="0" applyNumberFormat="1" applyFont="1" applyFill="1" applyBorder="1"/>
    <xf numFmtId="168" fontId="13" fillId="4" borderId="21" xfId="0" applyNumberFormat="1" applyFont="1" applyFill="1" applyBorder="1"/>
    <xf numFmtId="167" fontId="0" fillId="0" borderId="14" xfId="0" applyNumberFormat="1" applyBorder="1"/>
    <xf numFmtId="167" fontId="0" fillId="0" borderId="3" xfId="0" applyNumberFormat="1" applyBorder="1"/>
    <xf numFmtId="167" fontId="0" fillId="2" borderId="6" xfId="0" applyNumberFormat="1" applyFill="1" applyBorder="1"/>
    <xf numFmtId="167" fontId="0" fillId="2" borderId="3" xfId="0" applyNumberFormat="1" applyFill="1" applyBorder="1"/>
    <xf numFmtId="167" fontId="0" fillId="2" borderId="5" xfId="0" applyNumberFormat="1" applyFill="1" applyBorder="1"/>
    <xf numFmtId="167" fontId="13" fillId="4" borderId="20" xfId="0" applyNumberFormat="1" applyFont="1" applyFill="1" applyBorder="1"/>
    <xf numFmtId="167" fontId="13" fillId="4" borderId="4" xfId="0" applyNumberFormat="1" applyFont="1" applyFill="1" applyBorder="1"/>
    <xf numFmtId="167" fontId="0" fillId="15" borderId="7" xfId="0" applyNumberFormat="1" applyFill="1" applyBorder="1" applyAlignment="1">
      <alignment horizontal="center" vertical="center" wrapText="1"/>
    </xf>
    <xf numFmtId="167" fontId="0" fillId="0" borderId="7" xfId="0" applyNumberFormat="1" applyBorder="1"/>
    <xf numFmtId="167" fontId="13" fillId="4" borderId="32" xfId="0" applyNumberFormat="1" applyFont="1" applyFill="1" applyBorder="1"/>
    <xf numFmtId="167" fontId="0" fillId="0" borderId="15" xfId="0" applyNumberFormat="1" applyBorder="1"/>
    <xf numFmtId="167" fontId="13" fillId="4" borderId="21" xfId="0" applyNumberFormat="1" applyFont="1" applyFill="1" applyBorder="1"/>
    <xf numFmtId="0" fontId="11" fillId="2" borderId="33" xfId="0" applyFont="1" applyFill="1" applyBorder="1" applyAlignment="1">
      <alignment horizontal="center" vertical="center" wrapText="1"/>
    </xf>
    <xf numFmtId="9" fontId="0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168" fontId="11" fillId="2" borderId="16" xfId="0" applyNumberFormat="1" applyFont="1" applyFill="1" applyBorder="1" applyAlignment="1">
      <alignment horizontal="center" vertical="center" wrapText="1"/>
    </xf>
    <xf numFmtId="168" fontId="11" fillId="3" borderId="5" xfId="0" applyNumberFormat="1" applyFont="1" applyFill="1" applyBorder="1" applyAlignment="1">
      <alignment horizontal="center" vertical="center" wrapText="1"/>
    </xf>
    <xf numFmtId="168" fontId="11" fillId="0" borderId="5" xfId="0" applyNumberFormat="1" applyFont="1" applyBorder="1" applyAlignment="1">
      <alignment horizontal="center" vertical="center" wrapText="1"/>
    </xf>
    <xf numFmtId="168" fontId="11" fillId="4" borderId="5" xfId="0" applyNumberFormat="1" applyFont="1" applyFill="1" applyBorder="1" applyAlignment="1">
      <alignment horizontal="center" vertical="center" wrapText="1"/>
    </xf>
    <xf numFmtId="168" fontId="11" fillId="9" borderId="5" xfId="0" applyNumberFormat="1" applyFont="1" applyFill="1" applyBorder="1" applyAlignment="1">
      <alignment horizontal="center" vertical="center" wrapText="1"/>
    </xf>
    <xf numFmtId="168" fontId="11" fillId="0" borderId="17" xfId="0" applyNumberFormat="1" applyFont="1" applyBorder="1" applyAlignment="1">
      <alignment horizontal="center" vertical="center" wrapText="1"/>
    </xf>
    <xf numFmtId="165" fontId="11" fillId="3" borderId="27" xfId="0" applyNumberFormat="1" applyFont="1" applyFill="1" applyBorder="1" applyAlignment="1">
      <alignment horizontal="center" vertical="center" wrapText="1"/>
    </xf>
    <xf numFmtId="167" fontId="11" fillId="0" borderId="16" xfId="0" applyNumberFormat="1" applyFont="1" applyBorder="1" applyAlignment="1">
      <alignment horizontal="center" vertical="center" wrapText="1"/>
    </xf>
    <xf numFmtId="167" fontId="11" fillId="0" borderId="5" xfId="0" applyNumberFormat="1" applyFont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167" fontId="11" fillId="0" borderId="30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67" fontId="11" fillId="0" borderId="17" xfId="0" applyNumberFormat="1" applyFont="1" applyBorder="1" applyAlignment="1">
      <alignment horizontal="center" vertical="center" wrapText="1"/>
    </xf>
    <xf numFmtId="167" fontId="0" fillId="15" borderId="31" xfId="0" applyNumberFormat="1" applyFill="1" applyBorder="1"/>
    <xf numFmtId="167" fontId="0" fillId="15" borderId="7" xfId="0" applyNumberFormat="1" applyFill="1" applyBorder="1"/>
    <xf numFmtId="167" fontId="0" fillId="15" borderId="30" xfId="0" applyNumberFormat="1" applyFill="1" applyBorder="1"/>
    <xf numFmtId="14" fontId="8" fillId="0" borderId="3" xfId="0" applyNumberFormat="1" applyFont="1" applyFill="1" applyBorder="1"/>
    <xf numFmtId="0" fontId="8" fillId="0" borderId="3" xfId="0" applyFont="1" applyFill="1" applyBorder="1"/>
    <xf numFmtId="14" fontId="8" fillId="2" borderId="3" xfId="0" applyNumberFormat="1" applyFont="1" applyFill="1" applyBorder="1"/>
    <xf numFmtId="0" fontId="8" fillId="0" borderId="3" xfId="0" applyNumberFormat="1" applyFont="1" applyFill="1" applyBorder="1"/>
    <xf numFmtId="0" fontId="0" fillId="0" borderId="0" xfId="0" applyNumberFormat="1"/>
    <xf numFmtId="0" fontId="11" fillId="0" borderId="0" xfId="0" applyNumberFormat="1" applyFont="1" applyAlignment="1">
      <alignment horizontal="center" vertical="center"/>
    </xf>
    <xf numFmtId="14" fontId="15" fillId="16" borderId="5" xfId="0" applyNumberFormat="1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 wrapText="1"/>
    </xf>
    <xf numFmtId="0" fontId="12" fillId="0" borderId="34" xfId="0" applyNumberFormat="1" applyFont="1" applyFill="1" applyBorder="1" applyAlignment="1">
      <alignment horizontal="center" vertical="center"/>
    </xf>
    <xf numFmtId="0" fontId="15" fillId="16" borderId="5" xfId="0" applyNumberFormat="1" applyFont="1" applyFill="1" applyBorder="1" applyAlignment="1">
      <alignment horizontal="center" vertical="center" wrapText="1"/>
    </xf>
    <xf numFmtId="10" fontId="8" fillId="0" borderId="3" xfId="0" applyNumberFormat="1" applyFont="1" applyFill="1" applyBorder="1"/>
    <xf numFmtId="165" fontId="0" fillId="15" borderId="28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7" fontId="0" fillId="15" borderId="6" xfId="0" applyNumberFormat="1" applyFill="1" applyBorder="1"/>
    <xf numFmtId="167" fontId="0" fillId="15" borderId="3" xfId="0" applyNumberFormat="1" applyFill="1" applyBorder="1"/>
    <xf numFmtId="167" fontId="0" fillId="15" borderId="5" xfId="0" applyNumberFormat="1" applyFill="1" applyBorder="1"/>
    <xf numFmtId="167" fontId="0" fillId="15" borderId="18" xfId="0" applyNumberFormat="1" applyFill="1" applyBorder="1"/>
    <xf numFmtId="167" fontId="0" fillId="15" borderId="14" xfId="0" applyNumberFormat="1" applyFill="1" applyBorder="1"/>
    <xf numFmtId="167" fontId="0" fillId="15" borderId="16" xfId="0" applyNumberFormat="1" applyFill="1" applyBorder="1"/>
    <xf numFmtId="167" fontId="0" fillId="15" borderId="19" xfId="0" applyNumberFormat="1" applyFill="1" applyBorder="1"/>
    <xf numFmtId="167" fontId="0" fillId="15" borderId="15" xfId="0" applyNumberFormat="1" applyFill="1" applyBorder="1"/>
    <xf numFmtId="167" fontId="0" fillId="15" borderId="17" xfId="0" applyNumberFormat="1" applyFill="1" applyBorder="1"/>
    <xf numFmtId="0" fontId="0" fillId="15" borderId="3" xfId="0" applyFill="1" applyBorder="1"/>
    <xf numFmtId="166" fontId="0" fillId="15" borderId="3" xfId="0" applyNumberFormat="1" applyFill="1" applyBorder="1"/>
    <xf numFmtId="0" fontId="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0" borderId="0" xfId="0" applyNumberFormat="1" applyAlignment="1">
      <alignment horizontal="center" wrapText="1"/>
    </xf>
    <xf numFmtId="0" fontId="3" fillId="6" borderId="0" xfId="0" applyNumberFormat="1" applyFont="1" applyFill="1" applyAlignment="1">
      <alignment horizontal="center" vertical="center" wrapText="1"/>
    </xf>
    <xf numFmtId="0" fontId="4" fillId="2" borderId="0" xfId="0" applyNumberFormat="1" applyFont="1" applyFill="1" applyAlignment="1">
      <alignment wrapText="1"/>
    </xf>
    <xf numFmtId="0" fontId="4" fillId="2" borderId="0" xfId="0" applyNumberFormat="1" applyFont="1" applyFill="1" applyAlignment="1"/>
    <xf numFmtId="0" fontId="0" fillId="0" borderId="0" xfId="0" applyNumberFormat="1" applyFill="1" applyAlignment="1">
      <alignment wrapText="1"/>
    </xf>
    <xf numFmtId="0" fontId="0" fillId="0" borderId="0" xfId="0" applyNumberFormat="1" applyFill="1"/>
    <xf numFmtId="0" fontId="6" fillId="0" borderId="0" xfId="0" applyNumberFormat="1" applyFont="1" applyFill="1"/>
    <xf numFmtId="0" fontId="9" fillId="0" borderId="0" xfId="0" applyNumberFormat="1" applyFont="1" applyFill="1"/>
    <xf numFmtId="0" fontId="4" fillId="3" borderId="0" xfId="0" applyNumberFormat="1" applyFont="1" applyFill="1" applyAlignment="1">
      <alignment wrapText="1"/>
    </xf>
    <xf numFmtId="0" fontId="4" fillId="3" borderId="0" xfId="0" applyNumberFormat="1" applyFont="1" applyFill="1" applyAlignment="1"/>
    <xf numFmtId="0" fontId="0" fillId="0" borderId="0" xfId="0" applyNumberFormat="1" applyAlignment="1">
      <alignment wrapText="1"/>
    </xf>
    <xf numFmtId="0" fontId="4" fillId="4" borderId="0" xfId="0" applyNumberFormat="1" applyFont="1" applyFill="1" applyAlignment="1">
      <alignment wrapText="1"/>
    </xf>
    <xf numFmtId="0" fontId="4" fillId="4" borderId="0" xfId="0" applyNumberFormat="1" applyFont="1" applyFill="1" applyAlignment="1"/>
    <xf numFmtId="0" fontId="5" fillId="5" borderId="0" xfId="0" applyNumberFormat="1" applyFont="1" applyFill="1" applyAlignment="1">
      <alignment wrapText="1"/>
    </xf>
    <xf numFmtId="0" fontId="5" fillId="5" borderId="0" xfId="0" applyNumberFormat="1" applyFont="1" applyFill="1" applyAlignment="1"/>
    <xf numFmtId="0" fontId="5" fillId="7" borderId="0" xfId="0" applyNumberFormat="1" applyFont="1" applyFill="1" applyAlignment="1">
      <alignment wrapText="1"/>
    </xf>
    <xf numFmtId="0" fontId="5" fillId="7" borderId="0" xfId="0" applyNumberFormat="1" applyFont="1" applyFill="1" applyAlignment="1"/>
    <xf numFmtId="0" fontId="5" fillId="10" borderId="0" xfId="0" applyNumberFormat="1" applyFont="1" applyFill="1" applyAlignment="1">
      <alignment wrapText="1"/>
    </xf>
    <xf numFmtId="0" fontId="5" fillId="10" borderId="0" xfId="0" applyNumberFormat="1" applyFont="1" applyFill="1" applyAlignment="1"/>
    <xf numFmtId="168" fontId="11" fillId="17" borderId="5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4" fillId="17" borderId="0" xfId="0" applyNumberFormat="1" applyFont="1" applyFill="1" applyAlignment="1">
      <alignment wrapText="1"/>
    </xf>
    <xf numFmtId="0" fontId="4" fillId="17" borderId="0" xfId="0" applyNumberFormat="1" applyFont="1" applyFill="1" applyAlignment="1"/>
    <xf numFmtId="0" fontId="0" fillId="17" borderId="0" xfId="0" applyNumberFormat="1" applyFill="1"/>
    <xf numFmtId="0" fontId="4" fillId="17" borderId="0" xfId="0" applyFont="1" applyFill="1" applyAlignment="1"/>
    <xf numFmtId="0" fontId="0" fillId="17" borderId="0" xfId="0" applyFill="1"/>
    <xf numFmtId="165" fontId="0" fillId="0" borderId="0" xfId="0" applyNumberFormat="1" applyFill="1"/>
    <xf numFmtId="0" fontId="0" fillId="4" borderId="0" xfId="0" applyFill="1"/>
    <xf numFmtId="0" fontId="11" fillId="0" borderId="37" xfId="0" applyFont="1" applyBorder="1"/>
    <xf numFmtId="4" fontId="11" fillId="0" borderId="37" xfId="0" applyNumberFormat="1" applyFont="1" applyBorder="1"/>
    <xf numFmtId="10" fontId="11" fillId="0" borderId="37" xfId="0" applyNumberFormat="1" applyFont="1" applyBorder="1"/>
    <xf numFmtId="165" fontId="11" fillId="0" borderId="37" xfId="0" applyNumberFormat="1" applyFont="1" applyBorder="1"/>
    <xf numFmtId="165" fontId="11" fillId="0" borderId="37" xfId="2" applyNumberFormat="1" applyFont="1" applyBorder="1"/>
    <xf numFmtId="9" fontId="11" fillId="0" borderId="37" xfId="0" applyNumberFormat="1" applyFont="1" applyBorder="1"/>
    <xf numFmtId="0" fontId="0" fillId="17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167" fontId="0" fillId="11" borderId="35" xfId="0" applyNumberFormat="1" applyFill="1" applyBorder="1" applyAlignment="1">
      <alignment horizontal="center" vertical="center" wrapText="1"/>
    </xf>
    <xf numFmtId="167" fontId="0" fillId="11" borderId="26" xfId="0" applyNumberFormat="1" applyFill="1" applyBorder="1" applyAlignment="1">
      <alignment horizontal="center" vertical="center" wrapText="1"/>
    </xf>
    <xf numFmtId="167" fontId="0" fillId="11" borderId="36" xfId="0" applyNumberFormat="1" applyFill="1" applyBorder="1" applyAlignment="1">
      <alignment horizontal="center" vertical="center" wrapText="1"/>
    </xf>
    <xf numFmtId="167" fontId="0" fillId="14" borderId="8" xfId="0" applyNumberFormat="1" applyFill="1" applyBorder="1" applyAlignment="1">
      <alignment horizontal="center" vertical="center" wrapText="1"/>
    </xf>
    <xf numFmtId="167" fontId="0" fillId="14" borderId="36" xfId="0" applyNumberFormat="1" applyFill="1" applyBorder="1" applyAlignment="1">
      <alignment horizontal="center" vertical="center" wrapText="1"/>
    </xf>
    <xf numFmtId="167" fontId="0" fillId="13" borderId="35" xfId="0" applyNumberFormat="1" applyFill="1" applyBorder="1" applyAlignment="1">
      <alignment horizontal="center" vertical="center" wrapText="1"/>
    </xf>
    <xf numFmtId="167" fontId="0" fillId="13" borderId="36" xfId="0" applyNumberFormat="1" applyFill="1" applyBorder="1" applyAlignment="1">
      <alignment horizontal="center" vertical="center" wrapText="1"/>
    </xf>
  </cellXfs>
  <cellStyles count="9">
    <cellStyle name="Обычный" xfId="0" builtinId="0"/>
    <cellStyle name="Обычный 2" xfId="1"/>
    <cellStyle name="Обычный 3" xfId="3"/>
    <cellStyle name="Обычный 3 2" xfId="8"/>
    <cellStyle name="Обычный 4" xfId="5"/>
    <cellStyle name="Обычный 5" xfId="4"/>
    <cellStyle name="Процентный" xfId="2" builtinId="5"/>
    <cellStyle name="Процентный 2" xfId="6"/>
    <cellStyle name="Финансовый 2" xfId="7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b/>
        <i val="0"/>
        <strike val="0"/>
        <color rgb="FF0070C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BCB800"/>
      <color rgb="FFFF87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404171963209221E-2"/>
          <c:y val="4.382810254444916E-2"/>
          <c:w val="0.98963193518087045"/>
          <c:h val="0.88355677675732147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ФС'!$B$5:$AE$5</c:f>
              <c:numCache>
                <c:formatCode>0.00%</c:formatCode>
                <c:ptCount val="3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32-4028-816B-272F1EA5EF49}"/>
            </c:ext>
          </c:extLst>
        </c:ser>
        <c:ser>
          <c:idx val="0"/>
          <c:order val="1"/>
          <c:spPr>
            <a:ln>
              <a:solidFill>
                <a:srgbClr val="BCB800"/>
              </a:solidFill>
            </a:ln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ФС'!$B$6:$AE$6</c:f>
              <c:numCache>
                <c:formatCode>0.00%</c:formatCode>
                <c:ptCount val="30"/>
                <c:pt idx="0">
                  <c:v>2.9901031796167613E-2</c:v>
                </c:pt>
                <c:pt idx="1">
                  <c:v>2.7351146644224701E-2</c:v>
                </c:pt>
                <c:pt idx="2">
                  <c:v>0</c:v>
                </c:pt>
                <c:pt idx="3">
                  <c:v>0</c:v>
                </c:pt>
                <c:pt idx="4">
                  <c:v>2.1346830985915492E-2</c:v>
                </c:pt>
                <c:pt idx="5">
                  <c:v>1.9877675840978593E-2</c:v>
                </c:pt>
                <c:pt idx="6">
                  <c:v>1.8442178346712954E-2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32-4028-816B-272F1EA5E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21760"/>
        <c:axId val="218736896"/>
      </c:lineChart>
      <c:catAx>
        <c:axId val="255221760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36896"/>
        <c:crosses val="autoZero"/>
        <c:auto val="1"/>
        <c:lblAlgn val="ctr"/>
        <c:lblOffset val="100"/>
        <c:noMultiLvlLbl val="1"/>
      </c:catAx>
      <c:valAx>
        <c:axId val="2187368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55221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66008804773493E-2"/>
          <c:y val="2.6706114887775186E-2"/>
          <c:w val="0.98713398774390493"/>
          <c:h val="0.804356395794395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ФС'!$B$10:$AE$10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01-45BB-B8EB-1684337F7250}"/>
            </c:ext>
          </c:extLst>
        </c:ser>
        <c:ser>
          <c:idx val="0"/>
          <c:order val="1"/>
          <c:spPr>
            <a:ln>
              <a:solidFill>
                <a:srgbClr val="FFC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ФС'!$B$11:$AE$11</c:f>
              <c:numCache>
                <c:formatCode>0.00%</c:formatCode>
                <c:ptCount val="30"/>
                <c:pt idx="0">
                  <c:v>5.2010949673615497E-2</c:v>
                </c:pt>
                <c:pt idx="1">
                  <c:v>2.7140753208499895E-2</c:v>
                </c:pt>
                <c:pt idx="2">
                  <c:v>0</c:v>
                </c:pt>
                <c:pt idx="3">
                  <c:v>0</c:v>
                </c:pt>
                <c:pt idx="4">
                  <c:v>1.3204225352112676E-2</c:v>
                </c:pt>
                <c:pt idx="5">
                  <c:v>1.0266491917868065E-2</c:v>
                </c:pt>
                <c:pt idx="6">
                  <c:v>7.1599045346062056E-3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0D-4440-8178-706329247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23296"/>
        <c:axId val="218738624"/>
      </c:lineChart>
      <c:catAx>
        <c:axId val="25522329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38624"/>
        <c:crosses val="autoZero"/>
        <c:auto val="1"/>
        <c:lblAlgn val="ctr"/>
        <c:lblOffset val="100"/>
        <c:noMultiLvlLbl val="1"/>
      </c:catAx>
      <c:valAx>
        <c:axId val="218738624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255223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ФС'!$B$15:$AE$15</c:f>
              <c:numCache>
                <c:formatCode>0.00%</c:formatCode>
                <c:ptCount val="3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ФС'!$B$16:$AE$16</c:f>
              <c:numCache>
                <c:formatCode>0.00%</c:formatCode>
                <c:ptCount val="30"/>
                <c:pt idx="0">
                  <c:v>0.57637231503579955</c:v>
                </c:pt>
                <c:pt idx="1">
                  <c:v>0.85575364667747167</c:v>
                </c:pt>
                <c:pt idx="2">
                  <c:v>0</c:v>
                </c:pt>
                <c:pt idx="3">
                  <c:v>0</c:v>
                </c:pt>
                <c:pt idx="4">
                  <c:v>0.80967402733964244</c:v>
                </c:pt>
                <c:pt idx="5">
                  <c:v>0.87239263803680978</c:v>
                </c:pt>
                <c:pt idx="6">
                  <c:v>0.8571428571428571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1BA-477A-8E01-44F9913FD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24320"/>
        <c:axId val="218740352"/>
      </c:lineChart>
      <c:catAx>
        <c:axId val="255224320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40352"/>
        <c:crosses val="autoZero"/>
        <c:auto val="1"/>
        <c:lblAlgn val="ctr"/>
        <c:lblOffset val="100"/>
        <c:noMultiLvlLbl val="1"/>
      </c:catAx>
      <c:valAx>
        <c:axId val="218740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55224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07801097184571E-2"/>
          <c:y val="0.18919710835603251"/>
          <c:w val="0.98086738560666653"/>
          <c:h val="0.7338828676451211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ФС'!$B$20:$AE$20</c:f>
              <c:numCache>
                <c:formatCode>0.00%</c:formatCode>
                <c:ptCount val="3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16-4167-94A1-A7B665BD1A6E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ФС'!$B$21:$AE$21</c:f>
              <c:numCache>
                <c:formatCode>0.00%</c:formatCode>
                <c:ptCount val="30"/>
                <c:pt idx="0">
                  <c:v>0.10606060606060608</c:v>
                </c:pt>
                <c:pt idx="1">
                  <c:v>5.3935860058309082E-2</c:v>
                </c:pt>
                <c:pt idx="2">
                  <c:v>0</c:v>
                </c:pt>
                <c:pt idx="3">
                  <c:v>0</c:v>
                </c:pt>
                <c:pt idx="4">
                  <c:v>5.8697972251867681E-2</c:v>
                </c:pt>
                <c:pt idx="5">
                  <c:v>6.2929061784896989E-2</c:v>
                </c:pt>
                <c:pt idx="6">
                  <c:v>4.3478260869565188E-2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C3-4560-8399-32B86A9AF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25344"/>
        <c:axId val="218742080"/>
      </c:lineChart>
      <c:catAx>
        <c:axId val="255225344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18742080"/>
        <c:crosses val="autoZero"/>
        <c:auto val="1"/>
        <c:lblAlgn val="ctr"/>
        <c:lblOffset val="100"/>
        <c:noMultiLvlLbl val="1"/>
      </c:catAx>
      <c:valAx>
        <c:axId val="218742080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255225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897559316713317E-2"/>
          <c:y val="3.6604706313339938E-2"/>
          <c:w val="0.98610244068328667"/>
          <c:h val="0.80263361981538417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ФС'!$B$25:$AE$25</c:f>
              <c:numCache>
                <c:formatCode>General</c:formatCode>
                <c:ptCount val="30"/>
                <c:pt idx="0">
                  <c:v>30</c:v>
                </c:pt>
                <c:pt idx="1">
                  <c:v>33</c:v>
                </c:pt>
                <c:pt idx="2">
                  <c:v>0</c:v>
                </c:pt>
                <c:pt idx="3">
                  <c:v>0</c:v>
                </c:pt>
                <c:pt idx="4">
                  <c:v>32</c:v>
                </c:pt>
                <c:pt idx="5">
                  <c:v>20</c:v>
                </c:pt>
                <c:pt idx="6">
                  <c:v>29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AB9-45F8-999C-8AE910B3D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462848"/>
        <c:axId val="264791168"/>
      </c:lineChart>
      <c:catAx>
        <c:axId val="26446284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64791168"/>
        <c:crosses val="autoZero"/>
        <c:auto val="1"/>
        <c:lblAlgn val="ctr"/>
        <c:lblOffset val="100"/>
        <c:noMultiLvlLbl val="1"/>
      </c:catAx>
      <c:valAx>
        <c:axId val="264791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64462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43565648197157E-2"/>
          <c:y val="0.13809416494510476"/>
          <c:w val="0.98637759746574005"/>
          <c:h val="0.7536292068540289"/>
        </c:manualLayout>
      </c:layout>
      <c:lineChart>
        <c:grouping val="standard"/>
        <c:varyColors val="0"/>
        <c:ser>
          <c:idx val="2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ФС'!$B$29:$AE$29</c:f>
              <c:numCache>
                <c:formatCode>0.00%</c:formatCode>
                <c:ptCount val="30"/>
                <c:pt idx="0">
                  <c:v>5.1999999999999998E-2</c:v>
                </c:pt>
                <c:pt idx="1">
                  <c:v>5.1999999999999998E-2</c:v>
                </c:pt>
                <c:pt idx="2">
                  <c:v>5.1999999999999998E-2</c:v>
                </c:pt>
                <c:pt idx="3">
                  <c:v>5.1999999999999998E-2</c:v>
                </c:pt>
                <c:pt idx="4">
                  <c:v>5.1999999999999998E-2</c:v>
                </c:pt>
                <c:pt idx="5">
                  <c:v>5.1999999999999998E-2</c:v>
                </c:pt>
                <c:pt idx="6">
                  <c:v>5.1999999999999998E-2</c:v>
                </c:pt>
                <c:pt idx="7">
                  <c:v>5.1999999999999998E-2</c:v>
                </c:pt>
                <c:pt idx="8">
                  <c:v>5.1999999999999998E-2</c:v>
                </c:pt>
                <c:pt idx="9">
                  <c:v>5.1999999999999998E-2</c:v>
                </c:pt>
                <c:pt idx="10">
                  <c:v>5.1999999999999998E-2</c:v>
                </c:pt>
                <c:pt idx="11">
                  <c:v>5.1999999999999998E-2</c:v>
                </c:pt>
                <c:pt idx="12">
                  <c:v>5.1999999999999998E-2</c:v>
                </c:pt>
                <c:pt idx="13">
                  <c:v>5.1999999999999998E-2</c:v>
                </c:pt>
                <c:pt idx="14">
                  <c:v>5.1999999999999998E-2</c:v>
                </c:pt>
                <c:pt idx="15">
                  <c:v>5.1999999999999998E-2</c:v>
                </c:pt>
                <c:pt idx="16">
                  <c:v>5.1999999999999998E-2</c:v>
                </c:pt>
                <c:pt idx="17">
                  <c:v>5.1999999999999998E-2</c:v>
                </c:pt>
                <c:pt idx="18">
                  <c:v>5.1999999999999998E-2</c:v>
                </c:pt>
                <c:pt idx="19">
                  <c:v>5.1999999999999998E-2</c:v>
                </c:pt>
                <c:pt idx="20">
                  <c:v>5.1999999999999998E-2</c:v>
                </c:pt>
                <c:pt idx="21">
                  <c:v>5.1999999999999998E-2</c:v>
                </c:pt>
                <c:pt idx="22">
                  <c:v>5.1999999999999998E-2</c:v>
                </c:pt>
                <c:pt idx="23">
                  <c:v>5.1999999999999998E-2</c:v>
                </c:pt>
                <c:pt idx="24">
                  <c:v>5.1999999999999998E-2</c:v>
                </c:pt>
                <c:pt idx="25">
                  <c:v>5.1999999999999998E-2</c:v>
                </c:pt>
                <c:pt idx="26">
                  <c:v>5.1999999999999998E-2</c:v>
                </c:pt>
                <c:pt idx="27">
                  <c:v>5.1999999999999998E-2</c:v>
                </c:pt>
                <c:pt idx="28">
                  <c:v>5.1999999999999998E-2</c:v>
                </c:pt>
                <c:pt idx="29">
                  <c:v>5.1999999999999998E-2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D8-4BAA-A975-6B91BB5324C3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ФС'!$B$30:$AE$30</c:f>
              <c:numCache>
                <c:formatCode>0.00%</c:formatCode>
                <c:ptCount val="30"/>
                <c:pt idx="0">
                  <c:v>1E-3</c:v>
                </c:pt>
                <c:pt idx="1">
                  <c:v>3.0000000000000001E-3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9.0000000000000011E-3</c:v>
                </c:pt>
                <c:pt idx="6">
                  <c:v>9.0000000000000011E-3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EAF-4F1F-8521-FEADA2BD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463872"/>
        <c:axId val="264792896"/>
      </c:lineChart>
      <c:catAx>
        <c:axId val="264463872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64792896"/>
        <c:crosses val="autoZero"/>
        <c:auto val="1"/>
        <c:lblAlgn val="ctr"/>
        <c:lblOffset val="100"/>
        <c:noMultiLvlLbl val="1"/>
      </c:catAx>
      <c:valAx>
        <c:axId val="264792896"/>
        <c:scaling>
          <c:orientation val="minMax"/>
          <c:max val="0.2"/>
        </c:scaling>
        <c:delete val="0"/>
        <c:axPos val="l"/>
        <c:numFmt formatCode="0.00%" sourceLinked="0"/>
        <c:majorTickMark val="out"/>
        <c:minorTickMark val="none"/>
        <c:tickLblPos val="nextTo"/>
        <c:crossAx val="264463872"/>
        <c:crosses val="autoZero"/>
        <c:crossBetween val="between"/>
      </c:valAx>
      <c:spPr>
        <a:ln>
          <a:solidFill>
            <a:schemeClr val="accent1">
              <a:alpha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ФС'!$B$34:$AE$34</c:f>
              <c:numCache>
                <c:formatCode>0.00%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[$-419]\d\ \m\m\m;@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ФС'!$B$35:$AE$35</c:f>
              <c:numCache>
                <c:formatCode>0.00%</c:formatCode>
                <c:ptCount val="30"/>
                <c:pt idx="0">
                  <c:v>0.67540983606557381</c:v>
                </c:pt>
                <c:pt idx="1">
                  <c:v>0.91319444444444442</c:v>
                </c:pt>
                <c:pt idx="2">
                  <c:v>0</c:v>
                </c:pt>
                <c:pt idx="3">
                  <c:v>0</c:v>
                </c:pt>
                <c:pt idx="4">
                  <c:v>0.89141414141414144</c:v>
                </c:pt>
                <c:pt idx="5">
                  <c:v>0.93117408906882593</c:v>
                </c:pt>
                <c:pt idx="6">
                  <c:v>0.83628318584070793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5F3-46E0-B54E-156B94C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49280"/>
        <c:axId val="264794624"/>
      </c:lineChart>
      <c:catAx>
        <c:axId val="218849280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64794624"/>
        <c:crosses val="autoZero"/>
        <c:auto val="1"/>
        <c:lblAlgn val="ctr"/>
        <c:lblOffset val="100"/>
        <c:noMultiLvlLbl val="1"/>
      </c:catAx>
      <c:valAx>
        <c:axId val="2647946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18849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18</xdr:col>
      <xdr:colOff>0</xdr:colOff>
      <xdr:row>8</xdr:row>
      <xdr:rowOff>0</xdr:rowOff>
    </xdr:to>
    <xdr:sp macro="[0]!Сортировка_рейтинга" textlink="">
      <xdr:nvSpPr>
        <xdr:cNvPr id="2" name="Прямоугольник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71059" y="874059"/>
          <a:ext cx="2487706" cy="1008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Сортировать</a:t>
          </a:r>
          <a:r>
            <a:rPr lang="ru-RU" sz="1600" baseline="0"/>
            <a:t> по рейтингу</a:t>
          </a:r>
          <a:endParaRPr lang="ru-RU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Показать/скрыть выкладки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32</xdr:col>
      <xdr:colOff>0</xdr:colOff>
      <xdr:row>24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32</xdr:col>
      <xdr:colOff>0</xdr:colOff>
      <xdr:row>45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32</xdr:col>
      <xdr:colOff>0</xdr:colOff>
      <xdr:row>66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67</xdr:row>
      <xdr:rowOff>0</xdr:rowOff>
    </xdr:from>
    <xdr:to>
      <xdr:col>32</xdr:col>
      <xdr:colOff>0</xdr:colOff>
      <xdr:row>87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32</xdr:col>
      <xdr:colOff>0</xdr:colOff>
      <xdr:row>108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32</xdr:col>
      <xdr:colOff>0</xdr:colOff>
      <xdr:row>128</xdr:row>
      <xdr:rowOff>190499</xdr:rowOff>
    </xdr:to>
    <xdr:graphicFrame macro="">
      <xdr:nvGraphicFramePr>
        <xdr:cNvPr id="16" name="Диаграмма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32</xdr:col>
      <xdr:colOff>0</xdr:colOff>
      <xdr:row>150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8"/>
  </sheetPr>
  <dimension ref="A1:B9"/>
  <sheetViews>
    <sheetView workbookViewId="0">
      <selection activeCell="B2" sqref="B2"/>
    </sheetView>
  </sheetViews>
  <sheetFormatPr defaultRowHeight="15" x14ac:dyDescent="0.25"/>
  <cols>
    <col min="1" max="1" width="31.140625" customWidth="1"/>
    <col min="2" max="2" width="14.42578125" customWidth="1"/>
  </cols>
  <sheetData>
    <row r="1" spans="1:2" x14ac:dyDescent="0.25">
      <c r="A1" t="s">
        <v>86</v>
      </c>
      <c r="B1" t="s">
        <v>85</v>
      </c>
    </row>
    <row r="2" spans="1:2" x14ac:dyDescent="0.25">
      <c r="A2" s="175" t="s">
        <v>88</v>
      </c>
      <c r="B2" s="175">
        <f>COUNTA('Источник Рейтинг'!A:A)+1</f>
        <v>75</v>
      </c>
    </row>
    <row r="3" spans="1:2" x14ac:dyDescent="0.25">
      <c r="A3" t="s">
        <v>87</v>
      </c>
      <c r="B3">
        <f>COUNTA('1.1. Операторы (1С, Все ТА)'!C:C)</f>
        <v>69</v>
      </c>
    </row>
    <row r="4" spans="1:2" x14ac:dyDescent="0.25">
      <c r="A4" t="s">
        <v>89</v>
      </c>
      <c r="B4">
        <f>COUNTA('1.2. Операторы (1С, КУ)'!C:C)</f>
        <v>66</v>
      </c>
    </row>
    <row r="5" spans="1:2" x14ac:dyDescent="0.25">
      <c r="A5" t="s">
        <v>90</v>
      </c>
      <c r="B5">
        <f>COUNTA('2. Техники (1С)'!C:C)</f>
        <v>41</v>
      </c>
    </row>
    <row r="6" spans="1:2" x14ac:dyDescent="0.25">
      <c r="A6" t="s">
        <v>91</v>
      </c>
      <c r="B6">
        <f>COUNTA('3. % потерянной выручки (1С)'!C:C)</f>
        <v>74</v>
      </c>
    </row>
    <row r="7" spans="1:2" x14ac:dyDescent="0.25">
      <c r="A7" t="s">
        <v>92</v>
      </c>
      <c r="B7">
        <f>COUNTA('4. Кол-во ТА (1С)'!C:C)</f>
        <v>69</v>
      </c>
    </row>
    <row r="8" spans="1:2" x14ac:dyDescent="0.25">
      <c r="A8" t="s">
        <v>93</v>
      </c>
      <c r="B8">
        <f>COUNTA('5. ТА без связи (Вин)'!C:C)</f>
        <v>69</v>
      </c>
    </row>
    <row r="9" spans="1:2" x14ac:dyDescent="0.25">
      <c r="A9" t="s">
        <v>94</v>
      </c>
      <c r="B9">
        <f>COUNTA('6. Простои (Вин)'!C:C)</f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R45"/>
  <sheetViews>
    <sheetView tabSelected="1" zoomScale="85" zoomScaleNormal="85" zoomScalePageLayoutView="70" workbookViewId="0">
      <selection activeCell="R3" sqref="R3"/>
    </sheetView>
  </sheetViews>
  <sheetFormatPr defaultRowHeight="15" x14ac:dyDescent="0.25"/>
  <cols>
    <col min="1" max="1" width="19" customWidth="1"/>
    <col min="2" max="2" width="22.5703125" customWidth="1"/>
    <col min="3" max="3" width="8.5703125" customWidth="1"/>
    <col min="4" max="4" width="10.42578125" style="6" customWidth="1"/>
    <col min="5" max="6" width="17.28515625" customWidth="1"/>
    <col min="8" max="8" width="9.140625" style="6"/>
    <col min="9" max="9" width="17.28515625" customWidth="1"/>
    <col min="10" max="10" width="22.140625" customWidth="1"/>
    <col min="11" max="11" width="9.140625" customWidth="1"/>
    <col min="12" max="12" width="15.5703125" style="6" customWidth="1"/>
    <col min="13" max="13" width="16" style="3" customWidth="1"/>
    <col min="14" max="14" width="18.42578125" style="3" customWidth="1"/>
    <col min="15" max="15" width="10.140625" customWidth="1"/>
    <col min="16" max="16" width="14.5703125" style="6" customWidth="1"/>
    <col min="17" max="17" width="15" bestFit="1" customWidth="1"/>
    <col min="18" max="18" width="22.28515625" customWidth="1"/>
  </cols>
  <sheetData>
    <row r="1" spans="1:18" ht="20.25" customHeight="1" thickBot="1" x14ac:dyDescent="0.3">
      <c r="A1" s="26" t="s">
        <v>41</v>
      </c>
      <c r="E1" s="26" t="s">
        <v>42</v>
      </c>
      <c r="I1" s="26" t="s">
        <v>43</v>
      </c>
      <c r="M1" s="26" t="s">
        <v>69</v>
      </c>
      <c r="N1"/>
    </row>
    <row r="2" spans="1:18" s="4" customFormat="1" ht="33.75" customHeight="1" thickBot="1" x14ac:dyDescent="0.3">
      <c r="A2" s="185" t="s">
        <v>48</v>
      </c>
      <c r="B2" s="185"/>
      <c r="C2" s="22" t="s">
        <v>20</v>
      </c>
      <c r="D2" s="11"/>
      <c r="E2" s="186" t="s">
        <v>31</v>
      </c>
      <c r="F2" s="186"/>
      <c r="G2" s="22" t="s">
        <v>20</v>
      </c>
      <c r="H2" s="11"/>
      <c r="I2" s="187" t="s">
        <v>81</v>
      </c>
      <c r="J2" s="187"/>
      <c r="K2" s="22" t="s">
        <v>20</v>
      </c>
      <c r="L2" s="146"/>
      <c r="M2" s="182" t="s">
        <v>82</v>
      </c>
      <c r="N2" s="182"/>
      <c r="O2" s="22" t="s">
        <v>20</v>
      </c>
      <c r="P2" s="11"/>
      <c r="Q2" s="8" t="s">
        <v>27</v>
      </c>
      <c r="R2" s="9">
        <v>44811</v>
      </c>
    </row>
    <row r="3" spans="1:18" x14ac:dyDescent="0.25">
      <c r="L3" s="28"/>
      <c r="M3"/>
      <c r="N3"/>
    </row>
    <row r="4" spans="1:18" ht="15.75" customHeight="1" x14ac:dyDescent="0.25">
      <c r="A4" s="168" t="s">
        <v>12</v>
      </c>
      <c r="B4" s="1">
        <f>VLOOKUP(CONCATENATE(A4,$R$2),'Источник Рейтинг'!$A:$J,4,0)</f>
        <v>4.0590405904059039E-2</v>
      </c>
      <c r="C4" s="7">
        <v>1.4999999999999999E-2</v>
      </c>
      <c r="D4" s="6">
        <f t="shared" ref="D4:D15" si="0">IF(B4=B5,D5,D5+1)</f>
        <v>13</v>
      </c>
      <c r="E4" s="168" t="s">
        <v>12</v>
      </c>
      <c r="F4" s="15">
        <f>VLOOKUP(CONCATENATE(E4,$R$2),'Источник Рейтинг'!$A:$L,12,0)</f>
        <v>1.3999999999999999E-2</v>
      </c>
      <c r="G4" s="7">
        <v>5.1999999999999998E-2</v>
      </c>
      <c r="H4" s="6">
        <f t="shared" ref="H4:H15" si="1">IF(F4=F5,H5,H5+1)</f>
        <v>6</v>
      </c>
      <c r="I4" s="168" t="s">
        <v>6</v>
      </c>
      <c r="J4" s="1">
        <f>VLOOKUP(CONCATENATE(I4,$R$2),'Источник Рейтинг'!$A:$J,8,0)</f>
        <v>0.49549549549549549</v>
      </c>
      <c r="K4" s="5">
        <v>0.9</v>
      </c>
      <c r="L4" s="28">
        <f>IF(J4=J5,L5,L5+1)</f>
        <v>12</v>
      </c>
      <c r="M4" s="168" t="s">
        <v>6</v>
      </c>
      <c r="N4" s="1">
        <f>VLOOKUP(CONCATENATE(M4,$R$2),'Источник Рейтинг'!$A:$J,9,0)</f>
        <v>0.47457627118644069</v>
      </c>
      <c r="O4" s="5">
        <v>0.85</v>
      </c>
      <c r="P4" s="6">
        <f>IF(N4=N5,P5,P5+1)</f>
        <v>6</v>
      </c>
    </row>
    <row r="5" spans="1:18" ht="15.75" customHeight="1" x14ac:dyDescent="0.25">
      <c r="A5" s="168" t="s">
        <v>7</v>
      </c>
      <c r="B5" s="1">
        <f>VLOOKUP(CONCATENATE(A5,$R$2),'Источник Рейтинг'!$A:$J,4,0)</f>
        <v>3.4090909090909088E-2</v>
      </c>
      <c r="C5" s="7">
        <v>1.4999999999999999E-2</v>
      </c>
      <c r="D5" s="6">
        <f t="shared" si="0"/>
        <v>12</v>
      </c>
      <c r="E5" s="168" t="s">
        <v>11</v>
      </c>
      <c r="F5" s="15">
        <f>VLOOKUP(CONCATENATE(E5,$R$2),'Источник Рейтинг'!$A:$L,12,0)</f>
        <v>1.2E-2</v>
      </c>
      <c r="G5" s="7">
        <v>5.1999999999999998E-2</v>
      </c>
      <c r="H5" s="6">
        <f t="shared" si="1"/>
        <v>5</v>
      </c>
      <c r="I5" s="168" t="s">
        <v>10</v>
      </c>
      <c r="J5" s="1">
        <f>VLOOKUP(CONCATENATE(I5,$R$2),'Источник Рейтинг'!$A:$J,8,0)</f>
        <v>0.75</v>
      </c>
      <c r="K5" s="5">
        <v>0.9</v>
      </c>
      <c r="L5" s="28">
        <f t="shared" ref="L5:L15" si="2">IF(J5=J6,L6,L6+1)</f>
        <v>11</v>
      </c>
      <c r="M5" s="168" t="s">
        <v>9</v>
      </c>
      <c r="N5" s="1">
        <f>VLOOKUP(CONCATENATE(M5,$R$2),'Источник Рейтинг'!$A:$J,9,0)</f>
        <v>0.83333333333333337</v>
      </c>
      <c r="O5" s="5">
        <v>0.85</v>
      </c>
      <c r="P5" s="6">
        <f t="shared" ref="P5:P14" si="3">IF(N5=N6,P6,P6+1)</f>
        <v>5</v>
      </c>
    </row>
    <row r="6" spans="1:18" ht="15.75" customHeight="1" x14ac:dyDescent="0.25">
      <c r="A6" s="168" t="s">
        <v>38</v>
      </c>
      <c r="B6" s="1">
        <f>VLOOKUP(CONCATENATE(A6,$R$2),'Источник Рейтинг'!$A:$J,4,0)</f>
        <v>2.3121387283236993E-2</v>
      </c>
      <c r="C6" s="7">
        <v>1.4999999999999999E-2</v>
      </c>
      <c r="D6" s="6">
        <f t="shared" si="0"/>
        <v>11</v>
      </c>
      <c r="E6" s="168" t="s">
        <v>38</v>
      </c>
      <c r="F6" s="15">
        <f>VLOOKUP(CONCATENATE(E6,$R$2),'Источник Рейтинг'!$A:$L,12,0)</f>
        <v>1.1000000000000001E-2</v>
      </c>
      <c r="G6" s="7">
        <v>5.1999999999999998E-2</v>
      </c>
      <c r="H6" s="6">
        <f t="shared" si="1"/>
        <v>4</v>
      </c>
      <c r="I6" s="168" t="s">
        <v>12</v>
      </c>
      <c r="J6" s="1">
        <f>VLOOKUP(CONCATENATE(I6,$R$2),'Источник Рейтинг'!$A:$J,8,0)</f>
        <v>0.80645161290322576</v>
      </c>
      <c r="K6" s="5">
        <v>0.9</v>
      </c>
      <c r="L6" s="28">
        <f>IF(J6=J7,L7,L7+1)</f>
        <v>10</v>
      </c>
      <c r="M6" s="168" t="s">
        <v>10</v>
      </c>
      <c r="N6" s="1">
        <f>VLOOKUP(CONCATENATE(M6,$R$2),'Источник Рейтинг'!$A:$J,9,0)</f>
        <v>0.88888888888888884</v>
      </c>
      <c r="O6" s="5">
        <v>0.85</v>
      </c>
      <c r="P6" s="6">
        <f>IF(N6=N7,P7,P7+1)</f>
        <v>4</v>
      </c>
    </row>
    <row r="7" spans="1:18" ht="15.75" customHeight="1" x14ac:dyDescent="0.25">
      <c r="A7" s="168" t="s">
        <v>8</v>
      </c>
      <c r="B7" s="1">
        <f>VLOOKUP(CONCATENATE(A7,$R$2),'Источник Рейтинг'!$A:$J,4,0)</f>
        <v>2.1912350597609563E-2</v>
      </c>
      <c r="C7" s="7">
        <v>1.4999999999999999E-2</v>
      </c>
      <c r="D7" s="6">
        <f t="shared" si="0"/>
        <v>10</v>
      </c>
      <c r="E7" s="168" t="s">
        <v>39</v>
      </c>
      <c r="F7" s="15">
        <f>VLOOKUP(CONCATENATE(E7,$R$2),'Источник Рейтинг'!$A:$L,12,0)</f>
        <v>1.1000000000000001E-2</v>
      </c>
      <c r="G7" s="7">
        <v>5.1999999999999998E-2</v>
      </c>
      <c r="H7" s="6">
        <f t="shared" si="1"/>
        <v>4</v>
      </c>
      <c r="I7" s="168" t="s">
        <v>39</v>
      </c>
      <c r="J7" s="1">
        <f>VLOOKUP(CONCATENATE(I7,$R$2),'Источник Рейтинг'!$A:$J,8,0)</f>
        <v>0.8214285714285714</v>
      </c>
      <c r="K7" s="5">
        <v>0.9</v>
      </c>
      <c r="L7" s="28">
        <f t="shared" si="2"/>
        <v>9</v>
      </c>
      <c r="M7" s="168" t="s">
        <v>14</v>
      </c>
      <c r="N7" s="1">
        <f>VLOOKUP(CONCATENATE(M7,$R$2),'Источник Рейтинг'!$A:$J,9,0)</f>
        <v>0.94117647058823528</v>
      </c>
      <c r="O7" s="5">
        <v>0.85</v>
      </c>
      <c r="P7" s="6">
        <f t="shared" si="3"/>
        <v>3</v>
      </c>
    </row>
    <row r="8" spans="1:18" ht="15.75" customHeight="1" x14ac:dyDescent="0.25">
      <c r="A8" s="168" t="s">
        <v>13</v>
      </c>
      <c r="B8" s="1">
        <f>VLOOKUP(CONCATENATE(A8,$R$2),'Источник Рейтинг'!$A:$J,4,0)</f>
        <v>1.9662921348314606E-2</v>
      </c>
      <c r="C8" s="7">
        <v>1.4999999999999999E-2</v>
      </c>
      <c r="D8" s="6">
        <f>IF(B8=B9,D9,D9+1)</f>
        <v>9</v>
      </c>
      <c r="E8" s="168" t="s">
        <v>14</v>
      </c>
      <c r="F8" s="15">
        <f>VLOOKUP(CONCATENATE(E8,$R$2),'Источник Рейтинг'!$A:$L,12,0)</f>
        <v>0.01</v>
      </c>
      <c r="G8" s="7">
        <v>5.1999999999999998E-2</v>
      </c>
      <c r="H8" s="6">
        <f t="shared" si="1"/>
        <v>3</v>
      </c>
      <c r="I8" s="168" t="s">
        <v>8</v>
      </c>
      <c r="J8" s="1">
        <f>VLOOKUP(CONCATENATE(I8,$R$2),'Источник Рейтинг'!$A:$J,8,0)</f>
        <v>0.84210526315789469</v>
      </c>
      <c r="K8" s="5">
        <v>0.9</v>
      </c>
      <c r="L8" s="28">
        <f t="shared" si="2"/>
        <v>8</v>
      </c>
      <c r="M8" s="168" t="s">
        <v>37</v>
      </c>
      <c r="N8" s="1">
        <f>VLOOKUP(CONCATENATE(M8,$R$2),'Источник Рейтинг'!$A:$J,9,0)</f>
        <v>0.95918367346938771</v>
      </c>
      <c r="O8" s="5">
        <v>0.85</v>
      </c>
      <c r="P8" s="6">
        <f>IF(N8=N9,P9,P9+1)</f>
        <v>2</v>
      </c>
    </row>
    <row r="9" spans="1:18" ht="15.75" customHeight="1" x14ac:dyDescent="0.25">
      <c r="A9" s="168" t="s">
        <v>39</v>
      </c>
      <c r="B9" s="1">
        <f>VLOOKUP(CONCATENATE(A9,$R$2),'Источник Рейтинг'!$A:$J,4,0)</f>
        <v>1.8518518518518517E-2</v>
      </c>
      <c r="C9" s="7">
        <v>1.4999999999999999E-2</v>
      </c>
      <c r="D9" s="6">
        <f t="shared" si="0"/>
        <v>8</v>
      </c>
      <c r="E9" s="168" t="s">
        <v>7</v>
      </c>
      <c r="F9" s="15">
        <f>VLOOKUP(CONCATENATE(E9,$R$2),'Источник Рейтинг'!$A:$L,12,0)</f>
        <v>0.01</v>
      </c>
      <c r="G9" s="7">
        <v>5.1999999999999998E-2</v>
      </c>
      <c r="H9" s="6">
        <f t="shared" si="1"/>
        <v>3</v>
      </c>
      <c r="I9" s="168" t="s">
        <v>37</v>
      </c>
      <c r="J9" s="1">
        <f>VLOOKUP(CONCATENATE(I9,$R$2),'Источник Рейтинг'!$A:$J,8,0)</f>
        <v>0.89743589743589747</v>
      </c>
      <c r="K9" s="5">
        <v>0.9</v>
      </c>
      <c r="L9" s="28">
        <f>IF(J9=J10,L10,L10+1)</f>
        <v>7</v>
      </c>
      <c r="M9" s="168" t="s">
        <v>38</v>
      </c>
      <c r="N9" s="1">
        <f>VLOOKUP(CONCATENATE(M9,$R$2),'Источник Рейтинг'!$A:$J,9,0)</f>
        <v>1</v>
      </c>
      <c r="O9" s="5">
        <v>0.85</v>
      </c>
      <c r="P9" s="6">
        <f t="shared" si="3"/>
        <v>1</v>
      </c>
    </row>
    <row r="10" spans="1:18" ht="15.75" customHeight="1" x14ac:dyDescent="0.25">
      <c r="A10" s="168" t="s">
        <v>14</v>
      </c>
      <c r="B10" s="1">
        <f>VLOOKUP(CONCATENATE(A10,$R$2),'Источник Рейтинг'!$A:$J,4,0)</f>
        <v>1.8421052631578946E-2</v>
      </c>
      <c r="C10" s="7">
        <v>1.4999999999999999E-2</v>
      </c>
      <c r="D10" s="6">
        <f t="shared" si="0"/>
        <v>7</v>
      </c>
      <c r="E10" s="168" t="s">
        <v>13</v>
      </c>
      <c r="F10" s="15">
        <f>VLOOKUP(CONCATENATE(E10,$R$2),'Источник Рейтинг'!$A:$L,12,0)</f>
        <v>0.01</v>
      </c>
      <c r="G10" s="7">
        <v>5.1999999999999998E-2</v>
      </c>
      <c r="H10" s="6">
        <f t="shared" si="1"/>
        <v>3</v>
      </c>
      <c r="I10" s="168" t="s">
        <v>11</v>
      </c>
      <c r="J10" s="1">
        <f>VLOOKUP(CONCATENATE(I10,$R$2),'Источник Рейтинг'!$A:$J,8,0)</f>
        <v>0.9</v>
      </c>
      <c r="K10" s="5">
        <v>0.9</v>
      </c>
      <c r="L10" s="28">
        <f t="shared" si="2"/>
        <v>6</v>
      </c>
      <c r="M10" s="168" t="s">
        <v>12</v>
      </c>
      <c r="N10" s="1">
        <f>VLOOKUP(CONCATENATE(M10,$R$2),'Источник Рейтинг'!$A:$J,9,0)</f>
        <v>1</v>
      </c>
      <c r="O10" s="5">
        <v>0.85</v>
      </c>
      <c r="P10" s="6">
        <f t="shared" si="3"/>
        <v>1</v>
      </c>
    </row>
    <row r="11" spans="1:18" ht="15.75" customHeight="1" x14ac:dyDescent="0.25">
      <c r="A11" s="168" t="s">
        <v>9</v>
      </c>
      <c r="B11" s="1">
        <f>VLOOKUP(CONCATENATE(A11,$R$2),'Источник Рейтинг'!$A:$J,4,0)</f>
        <v>1.7676767676767676E-2</v>
      </c>
      <c r="C11" s="7">
        <v>1.4999999999999999E-2</v>
      </c>
      <c r="D11" s="6">
        <f t="shared" si="0"/>
        <v>6</v>
      </c>
      <c r="E11" s="168" t="s">
        <v>8</v>
      </c>
      <c r="F11" s="15">
        <f>VLOOKUP(CONCATENATE(E11,$R$2),'Источник Рейтинг'!$A:$L,12,0)</f>
        <v>0.01</v>
      </c>
      <c r="G11" s="174">
        <v>5.1999999999999998E-2</v>
      </c>
      <c r="H11" s="6">
        <f t="shared" si="1"/>
        <v>3</v>
      </c>
      <c r="I11" s="168" t="s">
        <v>14</v>
      </c>
      <c r="J11" s="1">
        <f>VLOOKUP(CONCATENATE(I11,$R$2),'Источник Рейтинг'!$A:$J,8,0)</f>
        <v>0.93506493506493504</v>
      </c>
      <c r="K11" s="5">
        <v>0.9</v>
      </c>
      <c r="L11" s="28">
        <f t="shared" si="2"/>
        <v>5</v>
      </c>
      <c r="M11" s="168" t="s">
        <v>39</v>
      </c>
      <c r="N11" s="1">
        <f>VLOOKUP(CONCATENATE(M11,$R$2),'Источник Рейтинг'!$A:$J,9,0)</f>
        <v>1</v>
      </c>
      <c r="O11" s="5">
        <v>0.85</v>
      </c>
      <c r="P11" s="6">
        <f t="shared" si="3"/>
        <v>1</v>
      </c>
    </row>
    <row r="12" spans="1:18" ht="15.75" customHeight="1" x14ac:dyDescent="0.25">
      <c r="A12" s="168" t="s">
        <v>6</v>
      </c>
      <c r="B12" s="1">
        <f>VLOOKUP(CONCATENATE(A12,$R$2),'Источник Рейтинг'!$A:$J,4,0)</f>
        <v>1.437699680511182E-2</v>
      </c>
      <c r="C12" s="7">
        <v>1.4999999999999999E-2</v>
      </c>
      <c r="D12" s="6">
        <f t="shared" si="0"/>
        <v>5</v>
      </c>
      <c r="E12" s="168" t="s">
        <v>10</v>
      </c>
      <c r="F12" s="15">
        <f>VLOOKUP(CONCATENATE(E12,$R$2),'Источник Рейтинг'!$A:$L,12,0)</f>
        <v>0.01</v>
      </c>
      <c r="G12" s="7">
        <v>5.1999999999999998E-2</v>
      </c>
      <c r="H12" s="6">
        <f t="shared" si="1"/>
        <v>3</v>
      </c>
      <c r="I12" s="168" t="s">
        <v>9</v>
      </c>
      <c r="J12" s="1">
        <f>VLOOKUP(CONCATENATE(I12,$R$2),'Источник Рейтинг'!$A:$J,8,0)</f>
        <v>0.93548387096774188</v>
      </c>
      <c r="K12" s="5">
        <v>0.9</v>
      </c>
      <c r="L12" s="28">
        <f t="shared" si="2"/>
        <v>4</v>
      </c>
      <c r="M12" s="168" t="s">
        <v>8</v>
      </c>
      <c r="N12" s="1">
        <f>VLOOKUP(CONCATENATE(M12,$R$2),'Источник Рейтинг'!$A:$J,9,0)</f>
        <v>1</v>
      </c>
      <c r="O12" s="5">
        <v>0.85</v>
      </c>
      <c r="P12" s="6">
        <f t="shared" si="3"/>
        <v>1</v>
      </c>
    </row>
    <row r="13" spans="1:18" ht="15.75" customHeight="1" x14ac:dyDescent="0.25">
      <c r="A13" s="168" t="s">
        <v>11</v>
      </c>
      <c r="B13" s="1">
        <f>VLOOKUP(CONCATENATE(A13,$R$2),'Источник Рейтинг'!$A:$J,4,0)</f>
        <v>1.0869565217391304E-2</v>
      </c>
      <c r="C13" s="7">
        <v>1.4999999999999999E-2</v>
      </c>
      <c r="D13" s="6">
        <f t="shared" si="0"/>
        <v>4</v>
      </c>
      <c r="E13" s="168" t="s">
        <v>9</v>
      </c>
      <c r="F13" s="15">
        <f>VLOOKUP(CONCATENATE(E13,$R$2),'Источник Рейтинг'!$A:$L,12,0)</f>
        <v>8.0000000000000002E-3</v>
      </c>
      <c r="G13" s="7">
        <v>5.1999999999999998E-2</v>
      </c>
      <c r="H13" s="6">
        <f t="shared" si="1"/>
        <v>2</v>
      </c>
      <c r="I13" s="168" t="s">
        <v>38</v>
      </c>
      <c r="J13" s="1">
        <f>VLOOKUP(CONCATENATE(I13,$R$2),'Источник Рейтинг'!$A:$J,8,0)</f>
        <v>0.94594594594594594</v>
      </c>
      <c r="K13" s="5">
        <v>0.9</v>
      </c>
      <c r="L13" s="28">
        <f t="shared" si="2"/>
        <v>3</v>
      </c>
      <c r="M13" s="168" t="s">
        <v>7</v>
      </c>
      <c r="N13" s="1">
        <f>VLOOKUP(CONCATENATE(M13,$R$2),'Источник Рейтинг'!$A:$J,9,0)</f>
        <v>1</v>
      </c>
      <c r="O13" s="5">
        <v>0.85</v>
      </c>
      <c r="P13" s="6">
        <f t="shared" si="3"/>
        <v>1</v>
      </c>
    </row>
    <row r="14" spans="1:18" ht="15.75" customHeight="1" x14ac:dyDescent="0.25">
      <c r="A14" s="168" t="s">
        <v>10</v>
      </c>
      <c r="B14" s="1">
        <f>VLOOKUP(CONCATENATE(A14,$R$2),'Источник Рейтинг'!$A:$J,4,0)</f>
        <v>8.771929824561403E-3</v>
      </c>
      <c r="C14" s="7">
        <v>1.4999999999999999E-2</v>
      </c>
      <c r="D14" s="6">
        <f t="shared" si="0"/>
        <v>3</v>
      </c>
      <c r="E14" s="168" t="s">
        <v>6</v>
      </c>
      <c r="F14" s="15">
        <f>VLOOKUP(CONCATENATE(E14,$R$2),'Источник Рейтинг'!$A:$L,12,0)</f>
        <v>6.9999999999999993E-3</v>
      </c>
      <c r="G14" s="7">
        <v>5.1999999999999998E-2</v>
      </c>
      <c r="H14" s="6">
        <f t="shared" si="1"/>
        <v>1</v>
      </c>
      <c r="I14" s="168" t="s">
        <v>5</v>
      </c>
      <c r="J14" s="1">
        <f>VLOOKUP(CONCATENATE(I14,$R$2),'Источник Рейтинг'!$A:$J,8,0)</f>
        <v>0.98666666666666669</v>
      </c>
      <c r="K14" s="5">
        <v>0.9</v>
      </c>
      <c r="L14" s="28">
        <f t="shared" si="2"/>
        <v>2</v>
      </c>
      <c r="M14" s="168" t="s">
        <v>13</v>
      </c>
      <c r="N14" s="1">
        <f>VLOOKUP(CONCATENATE(M14,$R$2),'Источник Рейтинг'!$A:$J,9,0)</f>
        <v>1</v>
      </c>
      <c r="O14" s="5">
        <v>0.85</v>
      </c>
      <c r="P14" s="6">
        <f t="shared" si="3"/>
        <v>1</v>
      </c>
    </row>
    <row r="15" spans="1:18" ht="15.75" customHeight="1" x14ac:dyDescent="0.25">
      <c r="A15" s="168" t="s">
        <v>37</v>
      </c>
      <c r="B15" s="1">
        <f>VLOOKUP(CONCATENATE(A15,$R$2),'Источник Рейтинг'!$A:$J,4,0)</f>
        <v>7.7821011673151752E-3</v>
      </c>
      <c r="C15" s="7">
        <v>1.4999999999999999E-2</v>
      </c>
      <c r="D15" s="6">
        <f t="shared" si="0"/>
        <v>2</v>
      </c>
      <c r="E15" s="168" t="s">
        <v>5</v>
      </c>
      <c r="F15" s="15">
        <f>VLOOKUP(CONCATENATE(E15,$R$2),'Источник Рейтинг'!$A:$L,12,0)</f>
        <v>6.9999999999999993E-3</v>
      </c>
      <c r="G15" s="7">
        <v>5.1999999999999998E-2</v>
      </c>
      <c r="H15" s="6">
        <f t="shared" si="1"/>
        <v>1</v>
      </c>
      <c r="I15" s="168" t="s">
        <v>13</v>
      </c>
      <c r="J15" s="1">
        <f>VLOOKUP(CONCATENATE(I15,$R$2),'Источник Рейтинг'!$A:$J,8,0)</f>
        <v>1</v>
      </c>
      <c r="K15" s="5">
        <v>0.9</v>
      </c>
      <c r="L15" s="28">
        <f t="shared" si="2"/>
        <v>1</v>
      </c>
      <c r="M15" s="168" t="s">
        <v>11</v>
      </c>
      <c r="N15" s="1">
        <f>VLOOKUP(CONCATENATE(M15,$R$2),'Источник Рейтинг'!$A:$J,9,0)</f>
        <v>1</v>
      </c>
      <c r="O15" s="5">
        <v>0.85</v>
      </c>
      <c r="P15" s="6">
        <f>IF(N15=N16,P16,P16+1)</f>
        <v>1</v>
      </c>
    </row>
    <row r="16" spans="1:18" ht="15.75" customHeight="1" thickBot="1" x14ac:dyDescent="0.3">
      <c r="A16" s="168" t="s">
        <v>5</v>
      </c>
      <c r="B16" s="1">
        <f>VLOOKUP(CONCATENATE(A16,$R$2),'Источник Рейтинг'!$A:$J,4,0)</f>
        <v>5.2493438320209973E-3</v>
      </c>
      <c r="C16" s="7">
        <v>1.4999999999999999E-2</v>
      </c>
      <c r="D16" s="6">
        <v>1</v>
      </c>
      <c r="E16" s="168" t="s">
        <v>37</v>
      </c>
      <c r="F16" s="15">
        <f>VLOOKUP(CONCATENATE(E16,$R$2),'Источник Рейтинг'!$A:$L,12,0)</f>
        <v>6.9999999999999993E-3</v>
      </c>
      <c r="G16" s="7">
        <v>5.1999999999999998E-2</v>
      </c>
      <c r="H16" s="6">
        <v>1</v>
      </c>
      <c r="I16" s="168" t="s">
        <v>7</v>
      </c>
      <c r="J16" s="1">
        <f>VLOOKUP(CONCATENATE(I16,$R$2),'Источник Рейтинг'!$A:$J,8,0)</f>
        <v>1</v>
      </c>
      <c r="K16" s="5">
        <v>0.9</v>
      </c>
      <c r="L16" s="28">
        <v>1</v>
      </c>
      <c r="M16" s="168" t="s">
        <v>5</v>
      </c>
      <c r="N16" s="1">
        <f>VLOOKUP(CONCATENATE(M16,$R$2),'Источник Рейтинг'!$A:$J,9,0)</f>
        <v>1</v>
      </c>
      <c r="O16" s="5">
        <v>0.85</v>
      </c>
      <c r="P16" s="6">
        <v>1</v>
      </c>
    </row>
    <row r="17" spans="1:16" ht="15.75" customHeight="1" x14ac:dyDescent="0.25">
      <c r="A17" s="176" t="s">
        <v>15</v>
      </c>
      <c r="B17" s="178">
        <f>VLOOKUP(CONCATENATE(A17,$R$2),'Источник Рейтинг'!$A:$J,4,0)</f>
        <v>1.8442178346712954E-2</v>
      </c>
      <c r="C17" s="179">
        <v>1.4999999999999999E-2</v>
      </c>
      <c r="D17" s="10"/>
      <c r="E17" s="176" t="s">
        <v>15</v>
      </c>
      <c r="F17" s="180">
        <f>VLOOKUP(CONCATENATE(E17,$R$2),'Источник Рейтинг'!$A:$L,12,0)</f>
        <v>9.0000000000000011E-3</v>
      </c>
      <c r="G17" s="179">
        <v>5.1999999999999998E-2</v>
      </c>
      <c r="I17" s="176" t="s">
        <v>15</v>
      </c>
      <c r="J17" s="178">
        <f>VLOOKUP(CONCATENATE(I17,$R$2),'Источник Рейтинг'!$A:$J,8,0)</f>
        <v>0.8571428571428571</v>
      </c>
      <c r="K17" s="181">
        <v>0.9</v>
      </c>
      <c r="L17" s="28"/>
      <c r="M17" s="176" t="s">
        <v>15</v>
      </c>
      <c r="N17" s="178">
        <f>VLOOKUP(CONCATENATE(M17,$R$2),'Источник Рейтинг'!$A:$J,9,0)</f>
        <v>0.83628318584070793</v>
      </c>
      <c r="O17" s="181">
        <v>0.85</v>
      </c>
    </row>
    <row r="18" spans="1:16" ht="15.75" customHeight="1" x14ac:dyDescent="0.25">
      <c r="L18" s="28"/>
    </row>
    <row r="19" spans="1:16" ht="15.75" customHeight="1" x14ac:dyDescent="0.25">
      <c r="E19" s="25" t="s">
        <v>40</v>
      </c>
      <c r="I19" s="25" t="s">
        <v>40</v>
      </c>
      <c r="J19" s="3"/>
      <c r="L19" s="28"/>
    </row>
    <row r="20" spans="1:16" ht="15.75" customHeight="1" x14ac:dyDescent="0.25">
      <c r="A20" s="188" t="s">
        <v>76</v>
      </c>
      <c r="B20" s="188"/>
      <c r="C20" s="30"/>
      <c r="D20" s="30"/>
      <c r="E20" s="184" t="s">
        <v>46</v>
      </c>
      <c r="F20" s="184"/>
      <c r="I20" s="183" t="s">
        <v>44</v>
      </c>
      <c r="J20" s="183"/>
      <c r="L20" s="147"/>
      <c r="P20" s="30"/>
    </row>
    <row r="21" spans="1:16" x14ac:dyDescent="0.25">
      <c r="A21" s="30"/>
      <c r="B21" s="30"/>
      <c r="C21" s="30"/>
      <c r="D21" s="30"/>
      <c r="E21" s="24"/>
      <c r="F21" s="24"/>
      <c r="I21" s="3"/>
      <c r="J21" s="3"/>
      <c r="L21" s="147"/>
      <c r="P21" s="30"/>
    </row>
    <row r="22" spans="1:16" ht="15.75" customHeight="1" x14ac:dyDescent="0.25">
      <c r="A22" s="29">
        <f>IF(C22=C23,A23,A23+1)</f>
        <v>11</v>
      </c>
      <c r="B22" s="10" t="s">
        <v>12</v>
      </c>
      <c r="C22" s="28">
        <f>VLOOKUP(B22,$A$4:$D$17,4,0)+VLOOKUP(B22,$E$4:$H$17,4,0)+VLOOKUP(B22,$I$4:$L$17,4,0)+VLOOKUP(B22,$M$4:$P$17,4,0)</f>
        <v>30</v>
      </c>
      <c r="D22" s="29"/>
      <c r="E22" t="s">
        <v>39</v>
      </c>
      <c r="F22" s="12">
        <f>VLOOKUP(CONCATENATE(E22,$R$2),'Источник Рейтинг'!$A:$AG,26,0)</f>
        <v>1</v>
      </c>
      <c r="I22" t="s">
        <v>5</v>
      </c>
      <c r="J22" s="1">
        <f>VLOOKUP(CONCATENATE(I22,$R$2),'Источник Рейтинг'!$A:$K,11,0)</f>
        <v>0.1216216216216216</v>
      </c>
      <c r="K22" s="6">
        <f t="shared" ref="K22:K33" si="4">IF(J22=J23,K23,K23+1)</f>
        <v>9</v>
      </c>
      <c r="L22" s="31"/>
      <c r="P22" s="30"/>
    </row>
    <row r="23" spans="1:16" ht="15.75" customHeight="1" x14ac:dyDescent="0.25">
      <c r="A23" s="29">
        <f t="shared" ref="A23:A33" si="5">IF(C23=C24,A24,A24+1)</f>
        <v>10</v>
      </c>
      <c r="B23" s="10" t="s">
        <v>6</v>
      </c>
      <c r="C23" s="28">
        <f>VLOOKUP(B23,$A$4:$D$17,4,0)+VLOOKUP(B23,$E$4:$H$17,4,0)+VLOOKUP(B23,$I$4:$L$17,4,0)+VLOOKUP(B23,$M$4:$P$17,4,0)</f>
        <v>24</v>
      </c>
      <c r="D23" s="29"/>
      <c r="E23" t="s">
        <v>10</v>
      </c>
      <c r="F23" s="12">
        <f>VLOOKUP(CONCATENATE(E23,$R$2),'Источник Рейтинг'!$A:$AG,26,0)</f>
        <v>1</v>
      </c>
      <c r="I23" t="s">
        <v>6</v>
      </c>
      <c r="J23" s="1">
        <f>VLOOKUP(CONCATENATE(I23,$R$2),'Источник Рейтинг'!$A:$K,11,0)</f>
        <v>0.11764705882352944</v>
      </c>
      <c r="K23" s="6">
        <f t="shared" si="4"/>
        <v>8</v>
      </c>
      <c r="L23" s="31"/>
      <c r="P23" s="30"/>
    </row>
    <row r="24" spans="1:16" ht="15" customHeight="1" x14ac:dyDescent="0.25">
      <c r="A24" s="29">
        <f t="shared" si="5"/>
        <v>9</v>
      </c>
      <c r="B24" s="10" t="s">
        <v>8</v>
      </c>
      <c r="C24" s="28">
        <f>VLOOKUP(B24,$A$4:$D$17,4,0)+VLOOKUP(B24,$E$4:$H$17,4,0)+VLOOKUP(B24,$I$4:$L$17,4,0)+VLOOKUP(B24,$M$4:$P$17,4,0)</f>
        <v>22</v>
      </c>
      <c r="D24" s="29"/>
      <c r="E24" t="s">
        <v>7</v>
      </c>
      <c r="F24" s="12">
        <f>VLOOKUP(CONCATENATE(E24,$R$2),'Источник Рейтинг'!$A:$AG,26,0)</f>
        <v>1</v>
      </c>
      <c r="I24" t="s">
        <v>11</v>
      </c>
      <c r="J24" s="1">
        <f>VLOOKUP(CONCATENATE(I24,$R$2),'Источник Рейтинг'!$A:$K,11,0)</f>
        <v>5.2631578947368474E-2</v>
      </c>
      <c r="K24" s="6">
        <f t="shared" si="4"/>
        <v>7</v>
      </c>
      <c r="L24" s="31"/>
      <c r="P24" s="30"/>
    </row>
    <row r="25" spans="1:16" x14ac:dyDescent="0.25">
      <c r="A25" s="29">
        <f t="shared" si="5"/>
        <v>9</v>
      </c>
      <c r="B25" s="10" t="s">
        <v>39</v>
      </c>
      <c r="C25" s="28">
        <f>VLOOKUP(B25,$A$4:$D$17,4,0)+VLOOKUP(B25,$E$4:$H$17,4,0)+VLOOKUP(B25,$I$4:$L$17,4,0)+VLOOKUP(B25,$M$4:$P$17,4,0)</f>
        <v>22</v>
      </c>
      <c r="D25" s="29"/>
      <c r="E25" t="s">
        <v>13</v>
      </c>
      <c r="F25" s="12">
        <f>VLOOKUP(CONCATENATE(E25,$R$2),'Источник Рейтинг'!$A:$AG,26,0)</f>
        <v>1</v>
      </c>
      <c r="I25" t="s">
        <v>39</v>
      </c>
      <c r="J25" s="1">
        <f>VLOOKUP(CONCATENATE(I25,$R$2),'Источник Рейтинг'!$A:$K,11,0)</f>
        <v>4.166666666666663E-2</v>
      </c>
      <c r="K25" s="6">
        <f t="shared" si="4"/>
        <v>6</v>
      </c>
      <c r="L25" s="31"/>
      <c r="P25" s="30"/>
    </row>
    <row r="26" spans="1:16" x14ac:dyDescent="0.25">
      <c r="A26" s="29">
        <f t="shared" si="5"/>
        <v>8</v>
      </c>
      <c r="B26" s="10" t="s">
        <v>10</v>
      </c>
      <c r="C26" s="28">
        <f>VLOOKUP(B26,$A$4:$D$17,4,0)+VLOOKUP(B26,$E$4:$H$17,4,0)+VLOOKUP(B26,$I$4:$L$17,4,0)+VLOOKUP(B26,$M$4:$P$17,4,0)</f>
        <v>21</v>
      </c>
      <c r="D26" s="29"/>
      <c r="E26" t="s">
        <v>5</v>
      </c>
      <c r="F26" s="12">
        <f>VLOOKUP(CONCATENATE(E26,$R$2),'Источник Рейтинг'!$A:$AG,26,0)</f>
        <v>2</v>
      </c>
      <c r="I26" t="s">
        <v>8</v>
      </c>
      <c r="J26" s="1">
        <f>VLOOKUP(CONCATENATE(I26,$R$2),'Источник Рейтинг'!$A:$K,11,0)</f>
        <v>4.166666666666663E-2</v>
      </c>
      <c r="K26" s="6">
        <f t="shared" si="4"/>
        <v>6</v>
      </c>
      <c r="L26" s="31"/>
      <c r="P26" s="30"/>
    </row>
    <row r="27" spans="1:16" x14ac:dyDescent="0.25">
      <c r="A27" s="29">
        <f t="shared" si="5"/>
        <v>7</v>
      </c>
      <c r="B27" s="10" t="s">
        <v>38</v>
      </c>
      <c r="C27" s="28">
        <f>VLOOKUP(B27,$A$4:$D$17,4,0)+VLOOKUP(B27,$E$4:$H$17,4,0)+VLOOKUP(B27,$I$4:$L$17,4,0)+VLOOKUP(B27,$M$4:$P$17,4,0)</f>
        <v>19</v>
      </c>
      <c r="D27" s="29"/>
      <c r="E27" t="s">
        <v>9</v>
      </c>
      <c r="F27" s="12">
        <f>VLOOKUP(CONCATENATE(E27,$R$2),'Источник Рейтинг'!$A:$AG,26,0)</f>
        <v>3</v>
      </c>
      <c r="I27" t="s">
        <v>10</v>
      </c>
      <c r="J27" s="1">
        <f>VLOOKUP(CONCATENATE(I27,$R$2),'Источник Рейтинг'!$A:$K,11,0)</f>
        <v>3.8461538461538436E-2</v>
      </c>
      <c r="K27" s="6">
        <f t="shared" si="4"/>
        <v>5</v>
      </c>
      <c r="L27" s="31"/>
      <c r="P27" s="30"/>
    </row>
    <row r="28" spans="1:16" x14ac:dyDescent="0.25">
      <c r="A28" s="29">
        <f t="shared" si="5"/>
        <v>6</v>
      </c>
      <c r="B28" s="10" t="s">
        <v>14</v>
      </c>
      <c r="C28" s="28">
        <f>VLOOKUP(B28,$A$4:$D$17,4,0)+VLOOKUP(B28,$E$4:$H$17,4,0)+VLOOKUP(B28,$I$4:$L$17,4,0)+VLOOKUP(B28,$M$4:$P$17,4,0)</f>
        <v>18</v>
      </c>
      <c r="D28" s="29"/>
      <c r="E28" t="s">
        <v>38</v>
      </c>
      <c r="F28" s="12">
        <f>VLOOKUP(CONCATENATE(E28,$R$2),'Источник Рейтинг'!$A:$AG,26,0)</f>
        <v>6</v>
      </c>
      <c r="I28" t="s">
        <v>12</v>
      </c>
      <c r="J28" s="1">
        <f>VLOOKUP(CONCATENATE(I28,$R$2),'Источник Рейтинг'!$A:$K,11,0)</f>
        <v>3.8461538461538436E-2</v>
      </c>
      <c r="K28" s="6">
        <f t="shared" si="4"/>
        <v>5</v>
      </c>
      <c r="L28" s="31"/>
      <c r="P28" s="30"/>
    </row>
    <row r="29" spans="1:16" x14ac:dyDescent="0.25">
      <c r="A29" s="29">
        <f t="shared" si="5"/>
        <v>5</v>
      </c>
      <c r="B29" s="10" t="s">
        <v>7</v>
      </c>
      <c r="C29" s="28">
        <f>VLOOKUP(B29,$A$4:$D$17,4,0)+VLOOKUP(B29,$E$4:$H$17,4,0)+VLOOKUP(B29,$I$4:$L$17,4,0)+VLOOKUP(B29,$M$4:$P$17,4,0)</f>
        <v>17</v>
      </c>
      <c r="D29" s="29"/>
      <c r="E29" t="s">
        <v>6</v>
      </c>
      <c r="F29" s="12">
        <f>VLOOKUP(CONCATENATE(E29,$R$2),'Источник Рейтинг'!$A:$AG,26,0)</f>
        <v>14</v>
      </c>
      <c r="I29" t="s">
        <v>7</v>
      </c>
      <c r="J29" s="1">
        <f>VLOOKUP(CONCATENATE(I29,$R$2),'Источник Рейтинг'!$A:$K,11,0)</f>
        <v>1.8867924528301883E-2</v>
      </c>
      <c r="K29" s="6">
        <f t="shared" si="4"/>
        <v>4</v>
      </c>
      <c r="L29" s="31"/>
      <c r="P29" s="30"/>
    </row>
    <row r="30" spans="1:16" x14ac:dyDescent="0.25">
      <c r="A30" s="29">
        <f t="shared" si="5"/>
        <v>5</v>
      </c>
      <c r="B30" s="10" t="s">
        <v>9</v>
      </c>
      <c r="C30" s="28">
        <f>VLOOKUP(B30,$A$4:$D$17,4,0)+VLOOKUP(B30,$E$4:$H$17,4,0)+VLOOKUP(B30,$I$4:$L$17,4,0)+VLOOKUP(B30,$M$4:$P$17,4,0)</f>
        <v>17</v>
      </c>
      <c r="D30" s="29"/>
      <c r="E30" t="s">
        <v>14</v>
      </c>
      <c r="F30" s="12" t="str">
        <f>VLOOKUP(CONCATENATE(E30,$R$2),'Источник Рейтинг'!$A:$AG,26,0)</f>
        <v/>
      </c>
      <c r="I30" t="s">
        <v>37</v>
      </c>
      <c r="J30" s="1">
        <f>VLOOKUP(CONCATENATE(I30,$R$2),'Источник Рейтинг'!$A:$K,11,0)</f>
        <v>1.4285714285714235E-2</v>
      </c>
      <c r="K30" s="6">
        <f t="shared" si="4"/>
        <v>3</v>
      </c>
      <c r="L30" s="31"/>
      <c r="P30" s="30"/>
    </row>
    <row r="31" spans="1:16" x14ac:dyDescent="0.25">
      <c r="A31" s="29">
        <f t="shared" si="5"/>
        <v>4</v>
      </c>
      <c r="B31" s="10" t="s">
        <v>11</v>
      </c>
      <c r="C31" s="28">
        <f>VLOOKUP(B31,$A$4:$D$17,4,0)+VLOOKUP(B31,$E$4:$H$17,4,0)+VLOOKUP(B31,$I$4:$L$17,4,0)+VLOOKUP(B31,$M$4:$P$17,4,0)</f>
        <v>16</v>
      </c>
      <c r="D31" s="29"/>
      <c r="E31" t="s">
        <v>37</v>
      </c>
      <c r="F31" s="12" t="str">
        <f>VLOOKUP(CONCATENATE(E31,$R$2),'Источник Рейтинг'!$A:$AG,26,0)</f>
        <v/>
      </c>
      <c r="I31" t="s">
        <v>13</v>
      </c>
      <c r="J31" s="1">
        <f>VLOOKUP(CONCATENATE(I31,$R$2),'Источник Рейтинг'!$A:$K,11,0)</f>
        <v>1.3513513513513487E-2</v>
      </c>
      <c r="K31" s="6">
        <f t="shared" si="4"/>
        <v>2</v>
      </c>
      <c r="L31" s="31"/>
      <c r="P31" s="30"/>
    </row>
    <row r="32" spans="1:16" x14ac:dyDescent="0.25">
      <c r="A32" s="29">
        <f t="shared" si="5"/>
        <v>3</v>
      </c>
      <c r="B32" s="10" t="s">
        <v>13</v>
      </c>
      <c r="C32" s="28">
        <f>VLOOKUP(B32,$A$4:$D$17,4,0)+VLOOKUP(B32,$E$4:$H$17,4,0)+VLOOKUP(B32,$I$4:$L$17,4,0)+VLOOKUP(B32,$M$4:$P$17,4,0)</f>
        <v>14</v>
      </c>
      <c r="D32" s="29"/>
      <c r="E32" t="s">
        <v>8</v>
      </c>
      <c r="F32" s="12" t="str">
        <f>VLOOKUP(CONCATENATE(E32,$R$2),'Источник Рейтинг'!$A:$AG,26,0)</f>
        <v/>
      </c>
      <c r="I32" t="s">
        <v>14</v>
      </c>
      <c r="J32" s="1">
        <f>VLOOKUP(CONCATENATE(I32,$R$2),'Источник Рейтинг'!$A:$K,11,0)</f>
        <v>0</v>
      </c>
      <c r="K32" s="6">
        <f t="shared" si="4"/>
        <v>1</v>
      </c>
      <c r="L32" s="31"/>
      <c r="P32" s="30"/>
    </row>
    <row r="33" spans="1:16" x14ac:dyDescent="0.25">
      <c r="A33" s="29">
        <f t="shared" si="5"/>
        <v>2</v>
      </c>
      <c r="B33" s="10" t="s">
        <v>37</v>
      </c>
      <c r="C33" s="28">
        <f>VLOOKUP(B33,$A$4:$D$17,4,0)+VLOOKUP(B33,$E$4:$H$17,4,0)+VLOOKUP(B33,$I$4:$L$17,4,0)+VLOOKUP(B33,$M$4:$P$17,4,0)</f>
        <v>12</v>
      </c>
      <c r="D33" s="29"/>
      <c r="E33" t="s">
        <v>12</v>
      </c>
      <c r="F33" s="12" t="str">
        <f>VLOOKUP(CONCATENATE(E33,$R$2),'Источник Рейтинг'!$A:$AG,26,0)</f>
        <v/>
      </c>
      <c r="I33" t="s">
        <v>38</v>
      </c>
      <c r="J33" s="1">
        <f>VLOOKUP(CONCATENATE(I33,$R$2),'Источник Рейтинг'!$A:$K,11,0)</f>
        <v>0</v>
      </c>
      <c r="K33" s="6">
        <f t="shared" si="4"/>
        <v>1</v>
      </c>
      <c r="L33" s="31"/>
      <c r="P33" s="30"/>
    </row>
    <row r="34" spans="1:16" ht="15.75" thickBot="1" x14ac:dyDescent="0.3">
      <c r="A34" s="29">
        <f>IF(C34=C35,A35,A35+1)</f>
        <v>1</v>
      </c>
      <c r="B34" s="10" t="s">
        <v>5</v>
      </c>
      <c r="C34" s="28">
        <f>VLOOKUP(B34,$A$4:$D$17,4,0)+VLOOKUP(B34,$E$4:$H$17,4,0)+VLOOKUP(B34,$I$4:$L$17,4,0)+VLOOKUP(B34,$M$4:$P$17,4,0)</f>
        <v>5</v>
      </c>
      <c r="D34" s="29"/>
      <c r="E34" t="s">
        <v>11</v>
      </c>
      <c r="F34" s="12" t="str">
        <f>VLOOKUP(CONCATENATE(E34,$R$2),'Источник Рейтинг'!$A:$AG,26,0)</f>
        <v/>
      </c>
      <c r="I34" t="s">
        <v>9</v>
      </c>
      <c r="J34" s="1">
        <f>VLOOKUP(CONCATENATE(I34,$R$2),'Источник Рейтинг'!$A:$K,11,0)</f>
        <v>0</v>
      </c>
      <c r="K34" s="6">
        <v>1</v>
      </c>
      <c r="L34" s="31"/>
      <c r="P34" s="30"/>
    </row>
    <row r="35" spans="1:16" x14ac:dyDescent="0.25">
      <c r="C35" s="14"/>
      <c r="D35" s="29"/>
      <c r="E35" s="176" t="s">
        <v>15</v>
      </c>
      <c r="F35" s="177">
        <f>VLOOKUP(CONCATENATE(E35,$R$2),'Источник Рейтинг'!$A:$AG,26,0)</f>
        <v>29</v>
      </c>
      <c r="I35" s="176" t="s">
        <v>15</v>
      </c>
      <c r="J35" s="178">
        <f>VLOOKUP(CONCATENATE(I35,$R$2),'Источник Рейтинг'!$A:$K,11,0)</f>
        <v>4.3478260869565188E-2</v>
      </c>
      <c r="K35" s="6"/>
      <c r="L35" s="31"/>
      <c r="P35" s="30"/>
    </row>
    <row r="36" spans="1:16" x14ac:dyDescent="0.25">
      <c r="D36" s="29"/>
      <c r="K36" s="23"/>
      <c r="L36" s="31"/>
      <c r="P36" s="30"/>
    </row>
    <row r="37" spans="1:16" x14ac:dyDescent="0.25">
      <c r="P37" s="30"/>
    </row>
    <row r="38" spans="1:16" x14ac:dyDescent="0.25">
      <c r="P38" s="30"/>
    </row>
    <row r="39" spans="1:16" x14ac:dyDescent="0.25">
      <c r="P39" s="30"/>
    </row>
    <row r="40" spans="1:16" x14ac:dyDescent="0.25">
      <c r="P40" s="30"/>
    </row>
    <row r="41" spans="1:16" x14ac:dyDescent="0.25">
      <c r="P41" s="30"/>
    </row>
    <row r="42" spans="1:16" x14ac:dyDescent="0.25">
      <c r="P42" s="30"/>
    </row>
    <row r="45" spans="1:16" x14ac:dyDescent="0.25">
      <c r="O45" s="30"/>
      <c r="P45" s="30"/>
    </row>
  </sheetData>
  <sortState ref="I22:J34">
    <sortCondition descending="1" ref="J22:J34"/>
  </sortState>
  <mergeCells count="7">
    <mergeCell ref="M2:N2"/>
    <mergeCell ref="I20:J20"/>
    <mergeCell ref="E20:F20"/>
    <mergeCell ref="A2:B2"/>
    <mergeCell ref="E2:F2"/>
    <mergeCell ref="I2:J2"/>
    <mergeCell ref="A20:B20"/>
  </mergeCells>
  <conditionalFormatting sqref="K36">
    <cfRule type="cellIs" dxfId="6" priority="35" operator="equal">
      <formula>0</formula>
    </cfRule>
    <cfRule type="cellIs" dxfId="5" priority="36" operator="lessThan">
      <formula>0</formula>
    </cfRule>
    <cfRule type="cellIs" dxfId="4" priority="37" operator="greaterThan">
      <formula>0</formula>
    </cfRule>
  </conditionalFormatting>
  <conditionalFormatting sqref="D22:D36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{54CCE943-F00D-4DB6-B573-0689EA02E886}</x14:id>
        </ext>
      </extLst>
    </cfRule>
  </conditionalFormatting>
  <conditionalFormatting sqref="I4:I16 M4:M16">
    <cfRule type="expression" dxfId="3" priority="9">
      <formula>AND(J4&lt;K4,J4&lt;&gt;"")</formula>
    </cfRule>
    <cfRule type="expression" dxfId="2" priority="10">
      <formula>AND(J4&gt;=K4,J4&lt;&gt;"")</formula>
    </cfRule>
  </conditionalFormatting>
  <conditionalFormatting sqref="E4:E16 A4:A16">
    <cfRule type="expression" dxfId="1" priority="7">
      <formula>B4&lt;C4</formula>
    </cfRule>
    <cfRule type="expression" dxfId="0" priority="8">
      <formula>B4&gt;=C4</formula>
    </cfRule>
  </conditionalFormatting>
  <conditionalFormatting sqref="B4:B1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F1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J1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:N1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:A34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{20F7D09C-ECF4-483C-8A25-9620D048FBCF}</x14:id>
        </ext>
      </extLst>
    </cfRule>
  </conditionalFormatting>
  <conditionalFormatting sqref="F22:F34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CCE943-F00D-4DB6-B573-0689EA02E8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D22:D36</xm:sqref>
        </x14:conditionalFormatting>
        <x14:conditionalFormatting xmlns:xm="http://schemas.microsoft.com/office/excel/2006/main">
          <x14:cfRule type="dataBar" id="{20F7D09C-ECF4-483C-8A25-9620D048FB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A22:A34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92D050"/>
  </sheetPr>
  <dimension ref="A1:AI76"/>
  <sheetViews>
    <sheetView zoomScale="70" zoomScaleNormal="70" workbookViewId="0">
      <pane xSplit="3" ySplit="3" topLeftCell="D37" activePane="bottomRight" state="frozenSplit"/>
      <selection pane="topRight" activeCell="J1" sqref="J1"/>
      <selection pane="bottomLeft" activeCell="A2" sqref="A2"/>
      <selection pane="bottomRight" activeCell="B1" sqref="B1"/>
    </sheetView>
  </sheetViews>
  <sheetFormatPr defaultRowHeight="15" x14ac:dyDescent="0.25"/>
  <cols>
    <col min="1" max="1" width="22.42578125" style="32" customWidth="1"/>
    <col min="2" max="2" width="11.42578125" style="55" customWidth="1"/>
    <col min="3" max="3" width="18.5703125" style="32" customWidth="1"/>
    <col min="4" max="4" width="16.42578125" style="72" customWidth="1"/>
    <col min="5" max="5" width="13.28515625" style="73" customWidth="1"/>
    <col min="6" max="7" width="40" style="73" hidden="1" customWidth="1"/>
    <col min="8" max="8" width="14.85546875" style="73" customWidth="1"/>
    <col min="9" max="9" width="12.7109375" style="73" customWidth="1"/>
    <col min="10" max="10" width="15.42578125" style="73" customWidth="1"/>
    <col min="11" max="11" width="13.28515625" style="74" customWidth="1"/>
    <col min="12" max="12" width="13.140625" style="62" customWidth="1"/>
    <col min="13" max="13" width="10.140625" style="88" bestFit="1" customWidth="1"/>
    <col min="14" max="14" width="10.140625" style="89" customWidth="1"/>
    <col min="15" max="15" width="14.7109375" style="89" customWidth="1"/>
    <col min="16" max="16" width="16.5703125" style="89" customWidth="1"/>
    <col min="17" max="17" width="16.42578125" style="89" customWidth="1"/>
    <col min="18" max="18" width="14.5703125" style="55" hidden="1" customWidth="1"/>
    <col min="19" max="19" width="10.140625" style="88" bestFit="1" customWidth="1"/>
    <col min="20" max="20" width="10.140625" style="89" customWidth="1"/>
    <col min="21" max="21" width="14.7109375" style="89" customWidth="1"/>
    <col min="22" max="22" width="16.5703125" style="89" customWidth="1"/>
    <col min="23" max="23" width="16.42578125" style="89" customWidth="1"/>
    <col min="24" max="24" width="14.5703125" style="55" hidden="1" customWidth="1"/>
    <col min="25" max="25" width="11.28515625" style="89" customWidth="1"/>
    <col min="26" max="26" width="11.28515625" style="98" customWidth="1"/>
    <col min="27" max="27" width="13.5703125" style="96" customWidth="1"/>
    <col min="28" max="28" width="12.28515625" style="96" customWidth="1"/>
    <col min="29" max="29" width="13" style="96" customWidth="1"/>
    <col min="30" max="30" width="18.7109375" style="56" hidden="1" customWidth="1"/>
    <col min="31" max="31" width="14.5703125" style="32" hidden="1" customWidth="1"/>
    <col min="32" max="32" width="19.140625" style="32" hidden="1" customWidth="1"/>
    <col min="33" max="33" width="14.5703125" style="32" hidden="1" customWidth="1"/>
    <col min="34" max="34" width="11.28515625" style="56" hidden="1" customWidth="1"/>
    <col min="35" max="35" width="9.140625" style="27"/>
    <col min="36" max="36" width="23.140625" customWidth="1"/>
    <col min="37" max="37" width="12.85546875" customWidth="1"/>
    <col min="38" max="38" width="10.140625" bestFit="1" customWidth="1"/>
    <col min="39" max="39" width="13.28515625" customWidth="1"/>
    <col min="40" max="40" width="23.42578125" customWidth="1"/>
    <col min="42" max="42" width="23.28515625" customWidth="1"/>
  </cols>
  <sheetData>
    <row r="1" spans="1:35" s="43" customFormat="1" ht="22.5" customHeight="1" x14ac:dyDescent="0.25">
      <c r="A1" s="41"/>
      <c r="B1" s="50"/>
      <c r="C1" s="41"/>
      <c r="D1" s="69"/>
      <c r="E1" s="70"/>
      <c r="F1" s="70"/>
      <c r="G1" s="70"/>
      <c r="H1" s="70"/>
      <c r="I1" s="70"/>
      <c r="J1" s="70"/>
      <c r="K1" s="71"/>
      <c r="L1" s="61" t="s">
        <v>54</v>
      </c>
      <c r="M1" s="189" t="s">
        <v>73</v>
      </c>
      <c r="N1" s="190"/>
      <c r="O1" s="190"/>
      <c r="P1" s="190"/>
      <c r="Q1" s="190"/>
      <c r="R1" s="191"/>
      <c r="S1" s="189" t="s">
        <v>74</v>
      </c>
      <c r="T1" s="190"/>
      <c r="U1" s="190"/>
      <c r="V1" s="190"/>
      <c r="W1" s="190"/>
      <c r="X1" s="191"/>
      <c r="Y1" s="192" t="s">
        <v>50</v>
      </c>
      <c r="Z1" s="193"/>
      <c r="AA1" s="194" t="s">
        <v>51</v>
      </c>
      <c r="AB1" s="195"/>
      <c r="AC1" s="95" t="s">
        <v>52</v>
      </c>
      <c r="AD1" s="67"/>
      <c r="AE1" s="41"/>
      <c r="AF1" s="41"/>
      <c r="AG1" s="41"/>
      <c r="AH1" s="67"/>
      <c r="AI1" s="42"/>
    </row>
    <row r="2" spans="1:35" s="60" customFormat="1" ht="94.5" customHeight="1" thickBot="1" x14ac:dyDescent="0.3">
      <c r="A2" s="103" t="s">
        <v>17</v>
      </c>
      <c r="B2" s="104" t="s">
        <v>2</v>
      </c>
      <c r="C2" s="103" t="s">
        <v>1</v>
      </c>
      <c r="D2" s="105" t="s">
        <v>70</v>
      </c>
      <c r="E2" s="106" t="s">
        <v>0</v>
      </c>
      <c r="F2" s="107" t="s">
        <v>24</v>
      </c>
      <c r="G2" s="107" t="s">
        <v>25</v>
      </c>
      <c r="H2" s="108" t="s">
        <v>72</v>
      </c>
      <c r="I2" s="167" t="s">
        <v>75</v>
      </c>
      <c r="J2" s="109" t="s">
        <v>3</v>
      </c>
      <c r="K2" s="110" t="s">
        <v>55</v>
      </c>
      <c r="L2" s="111" t="s">
        <v>71</v>
      </c>
      <c r="M2" s="112" t="s">
        <v>32</v>
      </c>
      <c r="N2" s="113" t="s">
        <v>33</v>
      </c>
      <c r="O2" s="113" t="s">
        <v>34</v>
      </c>
      <c r="P2" s="113" t="s">
        <v>29</v>
      </c>
      <c r="Q2" s="113" t="s">
        <v>28</v>
      </c>
      <c r="R2" s="114" t="s">
        <v>45</v>
      </c>
      <c r="S2" s="112" t="s">
        <v>32</v>
      </c>
      <c r="T2" s="113" t="s">
        <v>33</v>
      </c>
      <c r="U2" s="113" t="s">
        <v>34</v>
      </c>
      <c r="V2" s="113" t="s">
        <v>29</v>
      </c>
      <c r="W2" s="113" t="s">
        <v>28</v>
      </c>
      <c r="X2" s="114" t="s">
        <v>45</v>
      </c>
      <c r="Y2" s="113" t="s">
        <v>59</v>
      </c>
      <c r="Z2" s="117" t="s">
        <v>49</v>
      </c>
      <c r="AA2" s="115" t="s">
        <v>58</v>
      </c>
      <c r="AB2" s="115" t="s">
        <v>56</v>
      </c>
      <c r="AC2" s="115" t="s">
        <v>57</v>
      </c>
      <c r="AD2" s="116" t="s">
        <v>19</v>
      </c>
      <c r="AE2" s="103" t="s">
        <v>22</v>
      </c>
      <c r="AF2" s="103" t="s">
        <v>23</v>
      </c>
      <c r="AG2" s="103" t="s">
        <v>26</v>
      </c>
      <c r="AH2" s="68" t="s">
        <v>47</v>
      </c>
      <c r="AI2" s="59"/>
    </row>
    <row r="3" spans="1:35" s="102" customFormat="1" ht="15" customHeight="1" thickBot="1" x14ac:dyDescent="0.3">
      <c r="A3" s="57">
        <v>1</v>
      </c>
      <c r="B3" s="58">
        <v>2</v>
      </c>
      <c r="C3" s="57">
        <v>3</v>
      </c>
      <c r="D3" s="58">
        <v>4</v>
      </c>
      <c r="E3" s="57">
        <v>5</v>
      </c>
      <c r="F3" s="58">
        <v>6</v>
      </c>
      <c r="G3" s="57">
        <v>7</v>
      </c>
      <c r="H3" s="58">
        <v>8</v>
      </c>
      <c r="I3" s="57">
        <v>9</v>
      </c>
      <c r="J3" s="58">
        <v>10</v>
      </c>
      <c r="K3" s="57">
        <v>11</v>
      </c>
      <c r="L3" s="58">
        <v>12</v>
      </c>
      <c r="M3" s="57">
        <v>13</v>
      </c>
      <c r="N3" s="58">
        <v>14</v>
      </c>
      <c r="O3" s="57">
        <v>15</v>
      </c>
      <c r="P3" s="58">
        <v>16</v>
      </c>
      <c r="Q3" s="57">
        <v>17</v>
      </c>
      <c r="R3" s="58">
        <v>18</v>
      </c>
      <c r="S3" s="57">
        <v>19</v>
      </c>
      <c r="T3" s="58">
        <v>20</v>
      </c>
      <c r="U3" s="57">
        <v>21</v>
      </c>
      <c r="V3" s="58">
        <v>22</v>
      </c>
      <c r="W3" s="57">
        <v>23</v>
      </c>
      <c r="X3" s="58">
        <v>24</v>
      </c>
      <c r="Y3" s="57">
        <v>25</v>
      </c>
      <c r="Z3" s="58">
        <v>26</v>
      </c>
      <c r="AA3" s="57">
        <v>27</v>
      </c>
      <c r="AB3" s="58">
        <v>28</v>
      </c>
      <c r="AC3" s="57">
        <v>29</v>
      </c>
      <c r="AD3" s="57">
        <v>21</v>
      </c>
      <c r="AE3" s="58">
        <v>22</v>
      </c>
      <c r="AF3" s="57">
        <v>23</v>
      </c>
      <c r="AG3" s="58">
        <v>24</v>
      </c>
      <c r="AH3" s="100"/>
      <c r="AI3" s="101"/>
    </row>
    <row r="4" spans="1:35" ht="15.75" thickTop="1" x14ac:dyDescent="0.25">
      <c r="A4" s="47" t="str">
        <f>CONCATENATE(C4,B4)</f>
        <v>Белгород44805</v>
      </c>
      <c r="B4" s="52">
        <v>44805</v>
      </c>
      <c r="C4" s="48" t="s">
        <v>4</v>
      </c>
      <c r="D4" s="75">
        <f>IFERROR(AB4/AC4,"")</f>
        <v>6.7357512953367879E-2</v>
      </c>
      <c r="E4" s="76">
        <f t="shared" ref="E4:E18" si="0">IFERROR(AA4/AC4,"")</f>
        <v>7.7720207253886009E-2</v>
      </c>
      <c r="F4" s="76" t="str">
        <f t="shared" ref="F4:F18" si="1">IFERROR(AG4/AD4,"")</f>
        <v/>
      </c>
      <c r="G4" s="76" t="str">
        <f t="shared" ref="G4:G18" si="2">IFERROR((AA4-AG4)/AD4,"")</f>
        <v/>
      </c>
      <c r="H4" s="76" t="str">
        <f t="shared" ref="H4:H18" si="3">IFERROR(O4/M4,"")</f>
        <v/>
      </c>
      <c r="I4" s="76" t="str">
        <f>IFERROR(U4/S4,"")</f>
        <v/>
      </c>
      <c r="J4" s="76">
        <f t="shared" ref="J4:J18" si="4">IFERROR(1-P4/N4,"")</f>
        <v>0</v>
      </c>
      <c r="K4" s="77">
        <f t="shared" ref="K4:K16" si="5">IFERROR(1-Q4/N4,"")</f>
        <v>0</v>
      </c>
      <c r="L4" s="132">
        <f>VLOOKUP($A4,'3. % потерянной выручки (1С)'!$A:$D,4,0)</f>
        <v>2E-3</v>
      </c>
      <c r="M4" s="138" t="str">
        <f>IFERROR(VLOOKUP($A4,'1.1. Операторы (1С, Все ТА)'!$A:$G,4,0),"")</f>
        <v/>
      </c>
      <c r="N4" s="135">
        <f>IFERROR(VLOOKUP($A4,'1.1. Операторы (1С, Все ТА)'!$A:$G,5,0),"")</f>
        <v>2</v>
      </c>
      <c r="O4" s="135" t="str">
        <f>IFERROR(VLOOKUP($A4,'1.1. Операторы (1С, Все ТА)'!$A:$G,7,0),"")</f>
        <v/>
      </c>
      <c r="P4" s="90">
        <f>IFERROR(Q4+R4,"")</f>
        <v>2</v>
      </c>
      <c r="Q4" s="135">
        <f>IFERROR(VLOOKUP($A4,'1.1. Операторы (1С, Все ТА)'!$A:$G,6,0),"")</f>
        <v>2</v>
      </c>
      <c r="R4" s="64"/>
      <c r="S4" s="138" t="str">
        <f>IFERROR(VLOOKUP($A4,'1.2. Операторы (1С, КУ)'!$A:$G,4,0),"")</f>
        <v/>
      </c>
      <c r="T4" s="135" t="str">
        <f>IFERROR(VLOOKUP($A4,'1.2. Операторы (1С, КУ)'!$A:$G,5,0),"")</f>
        <v/>
      </c>
      <c r="U4" s="135" t="str">
        <f>IFERROR(VLOOKUP($A4,'1.2. Операторы (1С, КУ)'!$A:$G,7,0),"")</f>
        <v/>
      </c>
      <c r="V4" s="90" t="str">
        <f>IFERROR(W4+X4,"")</f>
        <v/>
      </c>
      <c r="W4" s="135" t="str">
        <f>IFERROR(VLOOKUP($A4,'1.2. Операторы (1С, КУ)'!$A:$G,6,0),"")</f>
        <v/>
      </c>
      <c r="X4" s="64"/>
      <c r="Y4" s="135" t="str">
        <f>IFERROR(VLOOKUP($A4,'2. Техники (1С)'!$A:$E,4,0),"")</f>
        <v/>
      </c>
      <c r="Z4" s="141" t="str">
        <f>IFERROR(VLOOKUP($A4,'2. Техники (1С)'!$A:$E,5,0),"")</f>
        <v/>
      </c>
      <c r="AA4" s="118">
        <f>IFERROR(VLOOKUP($A4,'6. Простои (Вин)'!$A:$D,4,0),0)</f>
        <v>15</v>
      </c>
      <c r="AB4" s="118">
        <f>IFERROR(VLOOKUP($A4,'5. ТА без связи (Вин)'!$A:$D,4,0),)</f>
        <v>13</v>
      </c>
      <c r="AC4" s="118">
        <f>VLOOKUP($A4,'4. Кол-во ТА (1С)'!$A:$E,5,0)</f>
        <v>193</v>
      </c>
    </row>
    <row r="5" spans="1:35" x14ac:dyDescent="0.25">
      <c r="A5" s="33" t="str">
        <f t="shared" ref="A5:A18" si="6">CONCATENATE(C5,B5)</f>
        <v>Воронеж44805</v>
      </c>
      <c r="B5" s="51">
        <v>44805</v>
      </c>
      <c r="C5" s="32" t="s">
        <v>5</v>
      </c>
      <c r="D5" s="78">
        <f t="shared" ref="D5:D18" si="7">IFERROR(AB5/AC5,"")</f>
        <v>4.4973544973544971E-2</v>
      </c>
      <c r="E5" s="79">
        <f t="shared" si="0"/>
        <v>5.8201058201058198E-2</v>
      </c>
      <c r="F5" s="79" t="str">
        <f t="shared" si="1"/>
        <v/>
      </c>
      <c r="G5" s="79" t="str">
        <f t="shared" si="2"/>
        <v/>
      </c>
      <c r="H5" s="79">
        <f t="shared" si="3"/>
        <v>1</v>
      </c>
      <c r="I5" s="79">
        <f t="shared" ref="I5:I7" si="8">IFERROR(U5/S5,"")</f>
        <v>1</v>
      </c>
      <c r="J5" s="79">
        <f t="shared" si="4"/>
        <v>0.30000000000000004</v>
      </c>
      <c r="K5" s="80">
        <f t="shared" si="5"/>
        <v>0.30000000000000004</v>
      </c>
      <c r="L5" s="133">
        <f>VLOOKUP($A5,'3. % потерянной выручки (1С)'!$A:$D,4,0)</f>
        <v>1E-3</v>
      </c>
      <c r="M5" s="139">
        <f>IFERROR(VLOOKUP($A5,'1.1. Операторы (1С, Все ТА)'!$A:$G,4,0),"")</f>
        <v>30</v>
      </c>
      <c r="N5" s="136">
        <f>IFERROR(VLOOKUP($A5,'1.1. Операторы (1С, Все ТА)'!$A:$G,5,0),"")</f>
        <v>30</v>
      </c>
      <c r="O5" s="136">
        <f>IFERROR(VLOOKUP($A5,'1.1. Операторы (1С, Все ТА)'!$A:$G,7,0),"")</f>
        <v>30</v>
      </c>
      <c r="P5" s="91">
        <f t="shared" ref="P5:P17" si="9">IFERROR(Q5+R5,"")</f>
        <v>21</v>
      </c>
      <c r="Q5" s="136">
        <f>IFERROR(VLOOKUP($A5,'1.1. Операторы (1С, Все ТА)'!$A:$G,6,0),"")</f>
        <v>21</v>
      </c>
      <c r="S5" s="139">
        <f>IFERROR(VLOOKUP($A5,'1.2. Операторы (1С, КУ)'!$A:$G,4,0),"")</f>
        <v>14</v>
      </c>
      <c r="T5" s="136">
        <f>IFERROR(VLOOKUP($A5,'1.2. Операторы (1С, КУ)'!$A:$G,5,0),"")</f>
        <v>14</v>
      </c>
      <c r="U5" s="136">
        <f>IFERROR(VLOOKUP($A5,'1.2. Операторы (1С, КУ)'!$A:$G,7,0),"")</f>
        <v>14</v>
      </c>
      <c r="V5" s="91">
        <f t="shared" ref="V5:V17" si="10">IFERROR(W5+X5,"")</f>
        <v>6</v>
      </c>
      <c r="W5" s="136">
        <f>IFERROR(VLOOKUP($A5,'1.2. Операторы (1С, КУ)'!$A:$G,6,0),"")</f>
        <v>6</v>
      </c>
      <c r="Y5" s="136" t="str">
        <f>IFERROR(VLOOKUP($A5,'2. Техники (1С)'!$A:$E,4,0),"")</f>
        <v/>
      </c>
      <c r="Z5" s="142">
        <f>IFERROR(VLOOKUP($A5,'2. Техники (1С)'!$A:$E,5,0),"")</f>
        <v>1</v>
      </c>
      <c r="AA5" s="119">
        <f>IFERROR(VLOOKUP($A5,'6. Простои (Вин)'!$A:$D,4,0),0)</f>
        <v>22</v>
      </c>
      <c r="AB5" s="119">
        <f>IFERROR(VLOOKUP($A5,'5. ТА без связи (Вин)'!$A:$D,4,0),)</f>
        <v>17</v>
      </c>
      <c r="AC5" s="119">
        <f>VLOOKUP($A5,'4. Кол-во ТА (1С)'!$A:$E,5,0)</f>
        <v>378</v>
      </c>
    </row>
    <row r="6" spans="1:35" x14ac:dyDescent="0.25">
      <c r="A6" s="33" t="str">
        <f t="shared" si="6"/>
        <v>Калининград44805</v>
      </c>
      <c r="B6" s="51">
        <v>44805</v>
      </c>
      <c r="C6" s="32" t="s">
        <v>6</v>
      </c>
      <c r="D6" s="78">
        <f t="shared" si="7"/>
        <v>3.2000000000000001E-2</v>
      </c>
      <c r="E6" s="79">
        <f t="shared" si="0"/>
        <v>5.6000000000000001E-2</v>
      </c>
      <c r="F6" s="79" t="str">
        <f t="shared" si="1"/>
        <v/>
      </c>
      <c r="G6" s="79" t="str">
        <f t="shared" si="2"/>
        <v/>
      </c>
      <c r="H6" s="79">
        <f t="shared" si="3"/>
        <v>0.19444444444444445</v>
      </c>
      <c r="I6" s="79">
        <f t="shared" si="8"/>
        <v>0.15789473684210525</v>
      </c>
      <c r="J6" s="79">
        <f t="shared" si="4"/>
        <v>0.33333333333333337</v>
      </c>
      <c r="K6" s="80">
        <f t="shared" si="5"/>
        <v>0.33333333333333337</v>
      </c>
      <c r="L6" s="133">
        <f>VLOOKUP($A6,'3. % потерянной выручки (1С)'!$A:$D,4,0)</f>
        <v>1E-3</v>
      </c>
      <c r="M6" s="139">
        <f>IFERROR(VLOOKUP($A6,'1.1. Операторы (1С, Все ТА)'!$A:$G,4,0),"")</f>
        <v>216</v>
      </c>
      <c r="N6" s="136">
        <f>IFERROR(VLOOKUP($A6,'1.1. Операторы (1С, Все ТА)'!$A:$G,5,0),"")</f>
        <v>99</v>
      </c>
      <c r="O6" s="136">
        <f>IFERROR(VLOOKUP($A6,'1.1. Операторы (1С, Все ТА)'!$A:$G,7,0),"")</f>
        <v>42</v>
      </c>
      <c r="P6" s="91">
        <f t="shared" si="9"/>
        <v>66</v>
      </c>
      <c r="Q6" s="136">
        <f>IFERROR(VLOOKUP($A6,'1.1. Операторы (1С, Все ТА)'!$A:$G,6,0),"")</f>
        <v>66</v>
      </c>
      <c r="S6" s="139">
        <f>IFERROR(VLOOKUP($A6,'1.2. Операторы (1С, КУ)'!$A:$G,4,0),"")</f>
        <v>57</v>
      </c>
      <c r="T6" s="136">
        <f>IFERROR(VLOOKUP($A6,'1.2. Операторы (1С, КУ)'!$A:$G,5,0),"")</f>
        <v>35</v>
      </c>
      <c r="U6" s="136">
        <f>IFERROR(VLOOKUP($A6,'1.2. Операторы (1С, КУ)'!$A:$G,7,0),"")</f>
        <v>9</v>
      </c>
      <c r="V6" s="91">
        <f t="shared" si="10"/>
        <v>19</v>
      </c>
      <c r="W6" s="136">
        <f>IFERROR(VLOOKUP($A6,'1.2. Операторы (1С, КУ)'!$A:$G,6,0),"")</f>
        <v>19</v>
      </c>
      <c r="Y6" s="136">
        <f>IFERROR(VLOOKUP($A6,'2. Техники (1С)'!$A:$E,4,0),"")</f>
        <v>10</v>
      </c>
      <c r="Z6" s="142">
        <f>IFERROR(VLOOKUP($A6,'2. Техники (1С)'!$A:$E,5,0),"")</f>
        <v>11</v>
      </c>
      <c r="AA6" s="119">
        <f>IFERROR(VLOOKUP($A6,'6. Простои (Вин)'!$A:$D,4,0),0)</f>
        <v>35</v>
      </c>
      <c r="AB6" s="119">
        <f>IFERROR(VLOOKUP($A6,'5. ТА без связи (Вин)'!$A:$D,4,0),)</f>
        <v>20</v>
      </c>
      <c r="AC6" s="119">
        <f>VLOOKUP($A6,'4. Кол-во ТА (1С)'!$A:$E,5,0)</f>
        <v>625</v>
      </c>
    </row>
    <row r="7" spans="1:35" x14ac:dyDescent="0.25">
      <c r="A7" s="33" t="str">
        <f t="shared" si="6"/>
        <v>Липецк44805</v>
      </c>
      <c r="B7" s="51">
        <v>44805</v>
      </c>
      <c r="C7" s="32" t="s">
        <v>7</v>
      </c>
      <c r="D7" s="78">
        <f t="shared" si="7"/>
        <v>4.2016806722689079E-2</v>
      </c>
      <c r="E7" s="79">
        <f t="shared" si="0"/>
        <v>7.0028011204481794E-2</v>
      </c>
      <c r="F7" s="79" t="str">
        <f t="shared" si="1"/>
        <v/>
      </c>
      <c r="G7" s="79" t="str">
        <f t="shared" si="2"/>
        <v/>
      </c>
      <c r="H7" s="79">
        <f t="shared" si="3"/>
        <v>0.43023255813953487</v>
      </c>
      <c r="I7" s="79">
        <f t="shared" si="8"/>
        <v>0.39285714285714285</v>
      </c>
      <c r="J7" s="79">
        <f t="shared" si="4"/>
        <v>2.2222222222222254E-2</v>
      </c>
      <c r="K7" s="80">
        <f t="shared" si="5"/>
        <v>2.2222222222222254E-2</v>
      </c>
      <c r="L7" s="133">
        <f>VLOOKUP($A7,'3. % потерянной выручки (1С)'!$A:$D,4,0)</f>
        <v>2E-3</v>
      </c>
      <c r="M7" s="139">
        <f>IFERROR(VLOOKUP($A7,'1.1. Операторы (1С, Все ТА)'!$A:$G,4,0),"")</f>
        <v>86</v>
      </c>
      <c r="N7" s="136">
        <f>IFERROR(VLOOKUP($A7,'1.1. Операторы (1С, Все ТА)'!$A:$G,5,0),"")</f>
        <v>45</v>
      </c>
      <c r="O7" s="136">
        <f>IFERROR(VLOOKUP($A7,'1.1. Операторы (1С, Все ТА)'!$A:$G,7,0),"")</f>
        <v>37</v>
      </c>
      <c r="P7" s="91">
        <f t="shared" si="9"/>
        <v>44</v>
      </c>
      <c r="Q7" s="136">
        <f>IFERROR(VLOOKUP($A7,'1.1. Операторы (1С, Все ТА)'!$A:$G,6,0),"")</f>
        <v>44</v>
      </c>
      <c r="S7" s="139">
        <f>IFERROR(VLOOKUP($A7,'1.2. Операторы (1С, КУ)'!$A:$G,4,0),"")</f>
        <v>28</v>
      </c>
      <c r="T7" s="136">
        <f>IFERROR(VLOOKUP($A7,'1.2. Операторы (1С, КУ)'!$A:$G,5,0),"")</f>
        <v>13</v>
      </c>
      <c r="U7" s="136">
        <f>IFERROR(VLOOKUP($A7,'1.2. Операторы (1С, КУ)'!$A:$G,7,0),"")</f>
        <v>11</v>
      </c>
      <c r="V7" s="91">
        <f t="shared" si="10"/>
        <v>13</v>
      </c>
      <c r="W7" s="136">
        <f>IFERROR(VLOOKUP($A7,'1.2. Операторы (1С, КУ)'!$A:$G,6,0),"")</f>
        <v>13</v>
      </c>
      <c r="Y7" s="136" t="str">
        <f>IFERROR(VLOOKUP($A7,'2. Техники (1С)'!$A:$E,4,0),"")</f>
        <v/>
      </c>
      <c r="Z7" s="142" t="str">
        <f>IFERROR(VLOOKUP($A7,'2. Техники (1С)'!$A:$E,5,0),"")</f>
        <v/>
      </c>
      <c r="AA7" s="119">
        <f>IFERROR(VLOOKUP($A7,'6. Простои (Вин)'!$A:$D,4,0),0)</f>
        <v>25</v>
      </c>
      <c r="AB7" s="119">
        <f>IFERROR(VLOOKUP($A7,'5. ТА без связи (Вин)'!$A:$D,4,0),)</f>
        <v>15</v>
      </c>
      <c r="AC7" s="119">
        <f>VLOOKUP($A7,'4. Кол-во ТА (1С)'!$A:$E,5,0)</f>
        <v>357</v>
      </c>
    </row>
    <row r="8" spans="1:35" x14ac:dyDescent="0.25">
      <c r="A8" s="33" t="str">
        <f t="shared" si="6"/>
        <v>Москва44805</v>
      </c>
      <c r="B8" s="51">
        <v>44805</v>
      </c>
      <c r="C8" s="32" t="s">
        <v>8</v>
      </c>
      <c r="D8" s="78">
        <f t="shared" si="7"/>
        <v>2.766798418972332E-2</v>
      </c>
      <c r="E8" s="79">
        <f t="shared" si="0"/>
        <v>2.9644268774703556E-2</v>
      </c>
      <c r="F8" s="79" t="str">
        <f t="shared" si="1"/>
        <v/>
      </c>
      <c r="G8" s="79" t="str">
        <f t="shared" si="2"/>
        <v/>
      </c>
      <c r="H8" s="79">
        <f t="shared" si="3"/>
        <v>1</v>
      </c>
      <c r="I8" s="79">
        <f>IFERROR(U8/S8,"")</f>
        <v>1</v>
      </c>
      <c r="J8" s="79">
        <f t="shared" si="4"/>
        <v>6.6666666666666652E-2</v>
      </c>
      <c r="K8" s="80">
        <f t="shared" si="5"/>
        <v>6.6666666666666652E-2</v>
      </c>
      <c r="L8" s="133">
        <f>VLOOKUP($A8,'3. % потерянной выручки (1С)'!$A:$D,4,0)</f>
        <v>1E-3</v>
      </c>
      <c r="M8" s="139">
        <f>IFERROR(VLOOKUP($A8,'1.1. Операторы (1С, Все ТА)'!$A:$G,4,0),"")</f>
        <v>30</v>
      </c>
      <c r="N8" s="136">
        <f>IFERROR(VLOOKUP($A8,'1.1. Операторы (1С, Все ТА)'!$A:$G,5,0),"")</f>
        <v>30</v>
      </c>
      <c r="O8" s="136">
        <f>IFERROR(VLOOKUP($A8,'1.1. Операторы (1С, Все ТА)'!$A:$G,7,0),"")</f>
        <v>30</v>
      </c>
      <c r="P8" s="91">
        <f t="shared" si="9"/>
        <v>28</v>
      </c>
      <c r="Q8" s="136">
        <f>IFERROR(VLOOKUP($A8,'1.1. Операторы (1С, Все ТА)'!$A:$G,6,0),"")</f>
        <v>28</v>
      </c>
      <c r="S8" s="139">
        <f>IFERROR(VLOOKUP($A8,'1.2. Операторы (1С, КУ)'!$A:$G,4,0),"")</f>
        <v>8</v>
      </c>
      <c r="T8" s="136">
        <f>IFERROR(VLOOKUP($A8,'1.2. Операторы (1С, КУ)'!$A:$G,5,0),"")</f>
        <v>8</v>
      </c>
      <c r="U8" s="136">
        <f>IFERROR(VLOOKUP($A8,'1.2. Операторы (1С, КУ)'!$A:$G,7,0),"")</f>
        <v>8</v>
      </c>
      <c r="V8" s="91">
        <f t="shared" si="10"/>
        <v>8</v>
      </c>
      <c r="W8" s="136">
        <f>IFERROR(VLOOKUP($A8,'1.2. Операторы (1С, КУ)'!$A:$G,6,0),"")</f>
        <v>8</v>
      </c>
      <c r="Y8" s="136" t="str">
        <f>IFERROR(VLOOKUP($A8,'2. Техники (1С)'!$A:$E,4,0),"")</f>
        <v/>
      </c>
      <c r="Z8" s="142" t="str">
        <f>IFERROR(VLOOKUP($A8,'2. Техники (1С)'!$A:$E,5,0),"")</f>
        <v/>
      </c>
      <c r="AA8" s="119">
        <f>IFERROR(VLOOKUP($A8,'6. Простои (Вин)'!$A:$D,4,0),0)</f>
        <v>15</v>
      </c>
      <c r="AB8" s="119">
        <f>IFERROR(VLOOKUP($A8,'5. ТА без связи (Вин)'!$A:$D,4,0),)</f>
        <v>14</v>
      </c>
      <c r="AC8" s="119">
        <f>VLOOKUP($A8,'4. Кол-во ТА (1С)'!$A:$E,5,0)</f>
        <v>506</v>
      </c>
    </row>
    <row r="9" spans="1:35" x14ac:dyDescent="0.25">
      <c r="A9" s="33" t="str">
        <f t="shared" si="6"/>
        <v>Наб.Челны44805</v>
      </c>
      <c r="B9" s="51">
        <v>44805</v>
      </c>
      <c r="C9" s="32" t="s">
        <v>37</v>
      </c>
      <c r="D9" s="78">
        <f t="shared" si="7"/>
        <v>3.9215686274509803E-3</v>
      </c>
      <c r="E9" s="79">
        <f t="shared" si="0"/>
        <v>6.6666666666666666E-2</v>
      </c>
      <c r="F9" s="79" t="str">
        <f t="shared" si="1"/>
        <v/>
      </c>
      <c r="G9" s="79" t="str">
        <f t="shared" si="2"/>
        <v/>
      </c>
      <c r="H9" s="79">
        <f t="shared" si="3"/>
        <v>0.5</v>
      </c>
      <c r="I9" s="79" t="str">
        <f t="shared" ref="I9:I17" si="11">IFERROR(U9/S9,"")</f>
        <v/>
      </c>
      <c r="J9" s="79">
        <f t="shared" si="4"/>
        <v>0</v>
      </c>
      <c r="K9" s="80">
        <f t="shared" si="5"/>
        <v>0</v>
      </c>
      <c r="L9" s="133">
        <f>VLOOKUP($A9,'3. % потерянной выручки (1С)'!$A:$D,4,0)</f>
        <v>1E-3</v>
      </c>
      <c r="M9" s="139">
        <f>IFERROR(VLOOKUP($A9,'1.1. Операторы (1С, Все ТА)'!$A:$G,4,0),"")</f>
        <v>26</v>
      </c>
      <c r="N9" s="136">
        <f>IFERROR(VLOOKUP($A9,'1.1. Операторы (1С, Все ТА)'!$A:$G,5,0),"")</f>
        <v>14</v>
      </c>
      <c r="O9" s="136">
        <f>IFERROR(VLOOKUP($A9,'1.1. Операторы (1С, Все ТА)'!$A:$G,7,0),"")</f>
        <v>13</v>
      </c>
      <c r="P9" s="91">
        <f t="shared" si="9"/>
        <v>14</v>
      </c>
      <c r="Q9" s="136">
        <f>IFERROR(VLOOKUP($A9,'1.1. Операторы (1С, Все ТА)'!$A:$G,6,0),"")</f>
        <v>14</v>
      </c>
      <c r="S9" s="139" t="str">
        <f>IFERROR(VLOOKUP($A9,'1.2. Операторы (1С, КУ)'!$A:$G,4,0),"")</f>
        <v/>
      </c>
      <c r="T9" s="136" t="str">
        <f>IFERROR(VLOOKUP($A9,'1.2. Операторы (1С, КУ)'!$A:$G,5,0),"")</f>
        <v/>
      </c>
      <c r="U9" s="136" t="str">
        <f>IFERROR(VLOOKUP($A9,'1.2. Операторы (1С, КУ)'!$A:$G,7,0),"")</f>
        <v/>
      </c>
      <c r="V9" s="91" t="str">
        <f t="shared" si="10"/>
        <v/>
      </c>
      <c r="W9" s="136" t="str">
        <f>IFERROR(VLOOKUP($A9,'1.2. Операторы (1С, КУ)'!$A:$G,6,0),"")</f>
        <v/>
      </c>
      <c r="Y9" s="136" t="str">
        <f>IFERROR(VLOOKUP($A9,'2. Техники (1С)'!$A:$E,4,0),"")</f>
        <v/>
      </c>
      <c r="Z9" s="142" t="str">
        <f>IFERROR(VLOOKUP($A9,'2. Техники (1С)'!$A:$E,5,0),"")</f>
        <v/>
      </c>
      <c r="AA9" s="119">
        <f>IFERROR(VLOOKUP($A9,'6. Простои (Вин)'!$A:$D,4,0),0)</f>
        <v>17</v>
      </c>
      <c r="AB9" s="119">
        <f>IFERROR(VLOOKUP($A9,'5. ТА без связи (Вин)'!$A:$D,4,0),)</f>
        <v>1</v>
      </c>
      <c r="AC9" s="119">
        <f>VLOOKUP($A9,'4. Кол-во ТА (1С)'!$A:$E,5,0)</f>
        <v>255</v>
      </c>
    </row>
    <row r="10" spans="1:35" x14ac:dyDescent="0.25">
      <c r="A10" s="33" t="str">
        <f t="shared" si="6"/>
        <v>Нижний Новгород44805</v>
      </c>
      <c r="B10" s="51">
        <v>44805</v>
      </c>
      <c r="C10" s="32" t="s">
        <v>38</v>
      </c>
      <c r="D10" s="78">
        <f t="shared" si="7"/>
        <v>3.8834951456310676E-2</v>
      </c>
      <c r="E10" s="79">
        <f t="shared" si="0"/>
        <v>6.1488673139158574E-2</v>
      </c>
      <c r="F10" s="79" t="str">
        <f t="shared" si="1"/>
        <v/>
      </c>
      <c r="G10" s="79" t="str">
        <f t="shared" si="2"/>
        <v/>
      </c>
      <c r="H10" s="79">
        <f t="shared" si="3"/>
        <v>0.3522012578616352</v>
      </c>
      <c r="I10" s="79">
        <f t="shared" si="11"/>
        <v>0.39215686274509803</v>
      </c>
      <c r="J10" s="79">
        <f t="shared" si="4"/>
        <v>0</v>
      </c>
      <c r="K10" s="80">
        <f t="shared" si="5"/>
        <v>0</v>
      </c>
      <c r="L10" s="133">
        <f>VLOOKUP($A10,'3. % потерянной выручки (1С)'!$A:$D,4,0)</f>
        <v>1E-3</v>
      </c>
      <c r="M10" s="139">
        <f>IFERROR(VLOOKUP($A10,'1.1. Операторы (1С, Все ТА)'!$A:$G,4,0),"")</f>
        <v>159</v>
      </c>
      <c r="N10" s="136">
        <f>IFERROR(VLOOKUP($A10,'1.1. Операторы (1С, Все ТА)'!$A:$G,5,0),"")</f>
        <v>78</v>
      </c>
      <c r="O10" s="136">
        <f>IFERROR(VLOOKUP($A10,'1.1. Операторы (1С, Все ТА)'!$A:$G,7,0),"")</f>
        <v>56</v>
      </c>
      <c r="P10" s="91">
        <f t="shared" si="9"/>
        <v>78</v>
      </c>
      <c r="Q10" s="136">
        <f>IFERROR(VLOOKUP($A10,'1.1. Операторы (1С, Все ТА)'!$A:$G,6,0),"")</f>
        <v>78</v>
      </c>
      <c r="S10" s="139">
        <f>IFERROR(VLOOKUP($A10,'1.2. Операторы (1С, КУ)'!$A:$G,4,0),"")</f>
        <v>51</v>
      </c>
      <c r="T10" s="136">
        <f>IFERROR(VLOOKUP($A10,'1.2. Операторы (1С, КУ)'!$A:$G,5,0),"")</f>
        <v>23</v>
      </c>
      <c r="U10" s="136">
        <f>IFERROR(VLOOKUP($A10,'1.2. Операторы (1С, КУ)'!$A:$G,7,0),"")</f>
        <v>20</v>
      </c>
      <c r="V10" s="91">
        <f t="shared" si="10"/>
        <v>22</v>
      </c>
      <c r="W10" s="136">
        <f>IFERROR(VLOOKUP($A10,'1.2. Операторы (1С, КУ)'!$A:$G,6,0),"")</f>
        <v>22</v>
      </c>
      <c r="Y10" s="136" t="str">
        <f>IFERROR(VLOOKUP($A10,'2. Техники (1С)'!$A:$E,4,0),"")</f>
        <v/>
      </c>
      <c r="Z10" s="142">
        <f>IFERROR(VLOOKUP($A10,'2. Техники (1С)'!$A:$E,5,0),"")</f>
        <v>1</v>
      </c>
      <c r="AA10" s="119">
        <f>IFERROR(VLOOKUP($A10,'6. Простои (Вин)'!$A:$D,4,0),0)</f>
        <v>19</v>
      </c>
      <c r="AB10" s="119">
        <f>IFERROR(VLOOKUP($A10,'5. ТА без связи (Вин)'!$A:$D,4,0),)</f>
        <v>12</v>
      </c>
      <c r="AC10" s="119">
        <f>VLOOKUP($A10,'4. Кол-во ТА (1С)'!$A:$E,5,0)</f>
        <v>309</v>
      </c>
    </row>
    <row r="11" spans="1:35" x14ac:dyDescent="0.25">
      <c r="A11" s="33" t="str">
        <f t="shared" si="6"/>
        <v>Самара44805</v>
      </c>
      <c r="B11" s="51">
        <v>44805</v>
      </c>
      <c r="C11" s="32" t="s">
        <v>9</v>
      </c>
      <c r="D11" s="78">
        <f t="shared" si="7"/>
        <v>1.7857142857142856E-2</v>
      </c>
      <c r="E11" s="79">
        <f t="shared" si="0"/>
        <v>3.3163265306122451E-2</v>
      </c>
      <c r="F11" s="79" t="str">
        <f t="shared" si="1"/>
        <v/>
      </c>
      <c r="G11" s="79" t="str">
        <f t="shared" si="2"/>
        <v/>
      </c>
      <c r="H11" s="79">
        <f t="shared" si="3"/>
        <v>0.94444444444444442</v>
      </c>
      <c r="I11" s="79">
        <f t="shared" si="11"/>
        <v>0.94444444444444442</v>
      </c>
      <c r="J11" s="79">
        <f t="shared" si="4"/>
        <v>0</v>
      </c>
      <c r="K11" s="80">
        <f t="shared" si="5"/>
        <v>0</v>
      </c>
      <c r="L11" s="133">
        <f>VLOOKUP($A11,'3. % потерянной выручки (1С)'!$A:$D,4,0)</f>
        <v>1E-3</v>
      </c>
      <c r="M11" s="139">
        <f>IFERROR(VLOOKUP($A11,'1.1. Операторы (1С, Все ТА)'!$A:$G,4,0),"")</f>
        <v>90</v>
      </c>
      <c r="N11" s="136">
        <f>IFERROR(VLOOKUP($A11,'1.1. Операторы (1С, Все ТА)'!$A:$G,5,0),"")</f>
        <v>85</v>
      </c>
      <c r="O11" s="136">
        <f>IFERROR(VLOOKUP($A11,'1.1. Операторы (1С, Все ТА)'!$A:$G,7,0),"")</f>
        <v>85</v>
      </c>
      <c r="P11" s="91">
        <f t="shared" si="9"/>
        <v>85</v>
      </c>
      <c r="Q11" s="136">
        <f>IFERROR(VLOOKUP($A11,'1.1. Операторы (1С, Все ТА)'!$A:$G,6,0),"")</f>
        <v>85</v>
      </c>
      <c r="S11" s="139">
        <f>IFERROR(VLOOKUP($A11,'1.2. Операторы (1С, КУ)'!$A:$G,4,0),"")</f>
        <v>54</v>
      </c>
      <c r="T11" s="136">
        <f>IFERROR(VLOOKUP($A11,'1.2. Операторы (1С, КУ)'!$A:$G,5,0),"")</f>
        <v>51</v>
      </c>
      <c r="U11" s="136">
        <f>IFERROR(VLOOKUP($A11,'1.2. Операторы (1С, КУ)'!$A:$G,7,0),"")</f>
        <v>51</v>
      </c>
      <c r="V11" s="91">
        <f t="shared" si="10"/>
        <v>51</v>
      </c>
      <c r="W11" s="136">
        <f>IFERROR(VLOOKUP($A11,'1.2. Операторы (1С, КУ)'!$A:$G,6,0),"")</f>
        <v>51</v>
      </c>
      <c r="Y11" s="136">
        <f>IFERROR(VLOOKUP($A11,'2. Техники (1С)'!$A:$E,4,0),"")</f>
        <v>1</v>
      </c>
      <c r="Z11" s="142">
        <f>IFERROR(VLOOKUP($A11,'2. Техники (1С)'!$A:$E,5,0),"")</f>
        <v>5</v>
      </c>
      <c r="AA11" s="119">
        <f>IFERROR(VLOOKUP($A11,'6. Простои (Вин)'!$A:$D,4,0),0)</f>
        <v>13</v>
      </c>
      <c r="AB11" s="119">
        <f>IFERROR(VLOOKUP($A11,'5. ТА без связи (Вин)'!$A:$D,4,0),)</f>
        <v>7</v>
      </c>
      <c r="AC11" s="119">
        <f>VLOOKUP($A11,'4. Кол-во ТА (1С)'!$A:$E,5,0)</f>
        <v>392</v>
      </c>
    </row>
    <row r="12" spans="1:35" x14ac:dyDescent="0.25">
      <c r="A12" s="33" t="str">
        <f t="shared" si="6"/>
        <v>Саратов44805</v>
      </c>
      <c r="B12" s="51">
        <v>44805</v>
      </c>
      <c r="C12" s="32" t="s">
        <v>10</v>
      </c>
      <c r="D12" s="78">
        <f t="shared" si="7"/>
        <v>1.4534883720930232E-2</v>
      </c>
      <c r="E12" s="79">
        <f t="shared" si="0"/>
        <v>5.8139534883720929E-2</v>
      </c>
      <c r="F12" s="79" t="str">
        <f t="shared" si="1"/>
        <v/>
      </c>
      <c r="G12" s="79" t="str">
        <f t="shared" si="2"/>
        <v/>
      </c>
      <c r="H12" s="79">
        <f t="shared" si="3"/>
        <v>1</v>
      </c>
      <c r="I12" s="79">
        <f t="shared" si="11"/>
        <v>1</v>
      </c>
      <c r="J12" s="79">
        <f t="shared" si="4"/>
        <v>0.12698412698412698</v>
      </c>
      <c r="K12" s="80">
        <f t="shared" si="5"/>
        <v>0.12698412698412698</v>
      </c>
      <c r="L12" s="133">
        <f>VLOOKUP($A12,'3. % потерянной выручки (1С)'!$A:$D,4,0)</f>
        <v>2E-3</v>
      </c>
      <c r="M12" s="139">
        <f>IFERROR(VLOOKUP($A12,'1.1. Операторы (1С, Все ТА)'!$A:$G,4,0),"")</f>
        <v>40</v>
      </c>
      <c r="N12" s="136">
        <f>IFERROR(VLOOKUP($A12,'1.1. Операторы (1С, Все ТА)'!$A:$G,5,0),"")</f>
        <v>63</v>
      </c>
      <c r="O12" s="136">
        <f>IFERROR(VLOOKUP($A12,'1.1. Операторы (1С, Все ТА)'!$A:$G,7,0),"")</f>
        <v>40</v>
      </c>
      <c r="P12" s="91">
        <f t="shared" si="9"/>
        <v>55</v>
      </c>
      <c r="Q12" s="136">
        <f>IFERROR(VLOOKUP($A12,'1.1. Операторы (1С, Все ТА)'!$A:$G,6,0),"")</f>
        <v>55</v>
      </c>
      <c r="S12" s="139">
        <f>IFERROR(VLOOKUP($A12,'1.2. Операторы (1С, КУ)'!$A:$G,4,0),"")</f>
        <v>15</v>
      </c>
      <c r="T12" s="136">
        <f>IFERROR(VLOOKUP($A12,'1.2. Операторы (1С, КУ)'!$A:$G,5,0),"")</f>
        <v>24</v>
      </c>
      <c r="U12" s="136">
        <f>IFERROR(VLOOKUP($A12,'1.2. Операторы (1С, КУ)'!$A:$G,7,0),"")</f>
        <v>15</v>
      </c>
      <c r="V12" s="91">
        <f t="shared" si="10"/>
        <v>21</v>
      </c>
      <c r="W12" s="136">
        <f>IFERROR(VLOOKUP($A12,'1.2. Операторы (1С, КУ)'!$A:$G,6,0),"")</f>
        <v>21</v>
      </c>
      <c r="Y12" s="136" t="str">
        <f>IFERROR(VLOOKUP($A12,'2. Техники (1С)'!$A:$E,4,0),"")</f>
        <v/>
      </c>
      <c r="Z12" s="142">
        <f>IFERROR(VLOOKUP($A12,'2. Техники (1С)'!$A:$E,5,0),"")</f>
        <v>4</v>
      </c>
      <c r="AA12" s="119">
        <f>IFERROR(VLOOKUP($A12,'6. Простои (Вин)'!$A:$D,4,0),0)</f>
        <v>20</v>
      </c>
      <c r="AB12" s="119">
        <f>IFERROR(VLOOKUP($A12,'5. ТА без связи (Вин)'!$A:$D,4,0),)</f>
        <v>5</v>
      </c>
      <c r="AC12" s="119">
        <f>VLOOKUP($A12,'4. Кол-во ТА (1С)'!$A:$E,5,0)</f>
        <v>344</v>
      </c>
    </row>
    <row r="13" spans="1:35" x14ac:dyDescent="0.25">
      <c r="A13" s="33" t="str">
        <f t="shared" si="6"/>
        <v>Старый Оскол44805</v>
      </c>
      <c r="B13" s="51">
        <v>44805</v>
      </c>
      <c r="C13" s="32" t="s">
        <v>39</v>
      </c>
      <c r="D13" s="78">
        <f t="shared" si="7"/>
        <v>1.4705882352941176E-2</v>
      </c>
      <c r="E13" s="79">
        <f t="shared" si="0"/>
        <v>3.9215686274509803E-2</v>
      </c>
      <c r="F13" s="79" t="str">
        <f t="shared" si="1"/>
        <v/>
      </c>
      <c r="G13" s="79" t="str">
        <f t="shared" si="2"/>
        <v/>
      </c>
      <c r="H13" s="79">
        <f t="shared" si="3"/>
        <v>0.81481481481481477</v>
      </c>
      <c r="I13" s="79">
        <f t="shared" si="11"/>
        <v>1</v>
      </c>
      <c r="J13" s="79">
        <f t="shared" si="4"/>
        <v>0.16666666666666663</v>
      </c>
      <c r="K13" s="80">
        <f t="shared" si="5"/>
        <v>0.16666666666666663</v>
      </c>
      <c r="L13" s="133">
        <f>VLOOKUP($A13,'3. % потерянной выручки (1С)'!$A:$D,4,0)</f>
        <v>1E-3</v>
      </c>
      <c r="M13" s="139">
        <f>IFERROR(VLOOKUP($A13,'1.1. Операторы (1С, Все ТА)'!$A:$G,4,0),"")</f>
        <v>27</v>
      </c>
      <c r="N13" s="136">
        <f>IFERROR(VLOOKUP($A13,'1.1. Операторы (1С, Все ТА)'!$A:$G,5,0),"")</f>
        <v>24</v>
      </c>
      <c r="O13" s="136">
        <f>IFERROR(VLOOKUP($A13,'1.1. Операторы (1С, Все ТА)'!$A:$G,7,0),"")</f>
        <v>22</v>
      </c>
      <c r="P13" s="91">
        <f t="shared" si="9"/>
        <v>20</v>
      </c>
      <c r="Q13" s="136">
        <f>IFERROR(VLOOKUP($A13,'1.1. Операторы (1С, Все ТА)'!$A:$G,6,0),"")</f>
        <v>20</v>
      </c>
      <c r="S13" s="139">
        <f>IFERROR(VLOOKUP($A13,'1.2. Операторы (1С, КУ)'!$A:$G,4,0),"")</f>
        <v>2</v>
      </c>
      <c r="T13" s="136">
        <f>IFERROR(VLOOKUP($A13,'1.2. Операторы (1С, КУ)'!$A:$G,5,0),"")</f>
        <v>2</v>
      </c>
      <c r="U13" s="136">
        <f>IFERROR(VLOOKUP($A13,'1.2. Операторы (1С, КУ)'!$A:$G,7,0),"")</f>
        <v>2</v>
      </c>
      <c r="V13" s="91">
        <f t="shared" si="10"/>
        <v>2</v>
      </c>
      <c r="W13" s="136">
        <f>IFERROR(VLOOKUP($A13,'1.2. Операторы (1С, КУ)'!$A:$G,6,0),"")</f>
        <v>2</v>
      </c>
      <c r="Y13" s="136">
        <f>IFERROR(VLOOKUP($A13,'2. Техники (1С)'!$A:$E,4,0),"")</f>
        <v>1</v>
      </c>
      <c r="Z13" s="142">
        <f>IFERROR(VLOOKUP($A13,'2. Техники (1С)'!$A:$E,5,0),"")</f>
        <v>2</v>
      </c>
      <c r="AA13" s="119">
        <f>IFERROR(VLOOKUP($A13,'6. Простои (Вин)'!$A:$D,4,0),0)</f>
        <v>8</v>
      </c>
      <c r="AB13" s="119">
        <f>IFERROR(VLOOKUP($A13,'5. ТА без связи (Вин)'!$A:$D,4,0),)</f>
        <v>3</v>
      </c>
      <c r="AC13" s="119">
        <f>VLOOKUP($A13,'4. Кол-во ТА (1С)'!$A:$E,5,0)</f>
        <v>204</v>
      </c>
    </row>
    <row r="14" spans="1:35" x14ac:dyDescent="0.25">
      <c r="A14" s="33" t="str">
        <f t="shared" si="6"/>
        <v>Тольятти44805</v>
      </c>
      <c r="B14" s="51">
        <v>44805</v>
      </c>
      <c r="C14" s="32" t="s">
        <v>11</v>
      </c>
      <c r="D14" s="78">
        <f t="shared" si="7"/>
        <v>1.6393442622950821E-2</v>
      </c>
      <c r="E14" s="79">
        <f t="shared" si="0"/>
        <v>4.3715846994535519E-2</v>
      </c>
      <c r="F14" s="79" t="str">
        <f t="shared" si="1"/>
        <v/>
      </c>
      <c r="G14" s="79" t="str">
        <f t="shared" si="2"/>
        <v/>
      </c>
      <c r="H14" s="79">
        <f t="shared" si="3"/>
        <v>0.96</v>
      </c>
      <c r="I14" s="79">
        <f t="shared" si="11"/>
        <v>1</v>
      </c>
      <c r="J14" s="79">
        <f t="shared" si="4"/>
        <v>0.34615384615384615</v>
      </c>
      <c r="K14" s="80">
        <f t="shared" si="5"/>
        <v>0.34615384615384615</v>
      </c>
      <c r="L14" s="133">
        <f>VLOOKUP($A14,'3. % потерянной выручки (1С)'!$A:$D,4,0)</f>
        <v>3.0000000000000001E-3</v>
      </c>
      <c r="M14" s="139">
        <f>IFERROR(VLOOKUP($A14,'1.1. Операторы (1С, Все ТА)'!$A:$G,4,0),"")</f>
        <v>25</v>
      </c>
      <c r="N14" s="136">
        <f>IFERROR(VLOOKUP($A14,'1.1. Операторы (1С, Все ТА)'!$A:$G,5,0),"")</f>
        <v>26</v>
      </c>
      <c r="O14" s="136">
        <f>IFERROR(VLOOKUP($A14,'1.1. Операторы (1С, Все ТА)'!$A:$G,7,0),"")</f>
        <v>24</v>
      </c>
      <c r="P14" s="91">
        <f t="shared" si="9"/>
        <v>17</v>
      </c>
      <c r="Q14" s="136">
        <f>IFERROR(VLOOKUP($A14,'1.1. Операторы (1С, Все ТА)'!$A:$G,6,0),"")</f>
        <v>17</v>
      </c>
      <c r="S14" s="139">
        <f>IFERROR(VLOOKUP($A14,'1.2. Операторы (1С, КУ)'!$A:$G,4,0),"")</f>
        <v>6</v>
      </c>
      <c r="T14" s="136">
        <f>IFERROR(VLOOKUP($A14,'1.2. Операторы (1С, КУ)'!$A:$G,5,0),"")</f>
        <v>6</v>
      </c>
      <c r="U14" s="136">
        <f>IFERROR(VLOOKUP($A14,'1.2. Операторы (1С, КУ)'!$A:$G,7,0),"")</f>
        <v>6</v>
      </c>
      <c r="V14" s="91">
        <f t="shared" si="10"/>
        <v>5</v>
      </c>
      <c r="W14" s="136">
        <f>IFERROR(VLOOKUP($A14,'1.2. Операторы (1С, КУ)'!$A:$G,6,0),"")</f>
        <v>5</v>
      </c>
      <c r="Y14" s="136" t="str">
        <f>IFERROR(VLOOKUP($A14,'2. Техники (1С)'!$A:$E,4,0),"")</f>
        <v/>
      </c>
      <c r="Z14" s="142" t="str">
        <f>IFERROR(VLOOKUP($A14,'2. Техники (1С)'!$A:$E,5,0),"")</f>
        <v/>
      </c>
      <c r="AA14" s="119">
        <f>IFERROR(VLOOKUP($A14,'6. Простои (Вин)'!$A:$D,4,0),0)</f>
        <v>8</v>
      </c>
      <c r="AB14" s="119">
        <f>IFERROR(VLOOKUP($A14,'5. ТА без связи (Вин)'!$A:$D,4,0),)</f>
        <v>3</v>
      </c>
      <c r="AC14" s="119">
        <f>VLOOKUP($A14,'4. Кол-во ТА (1С)'!$A:$E,5,0)</f>
        <v>183</v>
      </c>
    </row>
    <row r="15" spans="1:35" x14ac:dyDescent="0.25">
      <c r="A15" s="33" t="str">
        <f t="shared" si="6"/>
        <v>Тула44805</v>
      </c>
      <c r="B15" s="51">
        <v>44805</v>
      </c>
      <c r="C15" s="32" t="s">
        <v>12</v>
      </c>
      <c r="D15" s="78">
        <f t="shared" si="7"/>
        <v>5.4545454545454543E-2</v>
      </c>
      <c r="E15" s="79">
        <f t="shared" si="0"/>
        <v>5.4545454545454543E-2</v>
      </c>
      <c r="F15" s="79" t="str">
        <f t="shared" si="1"/>
        <v/>
      </c>
      <c r="G15" s="79" t="str">
        <f t="shared" si="2"/>
        <v/>
      </c>
      <c r="H15" s="79">
        <f t="shared" si="3"/>
        <v>0.84375</v>
      </c>
      <c r="I15" s="79">
        <f t="shared" si="11"/>
        <v>1</v>
      </c>
      <c r="J15" s="79">
        <f t="shared" si="4"/>
        <v>0</v>
      </c>
      <c r="K15" s="80">
        <f t="shared" si="5"/>
        <v>0</v>
      </c>
      <c r="L15" s="133">
        <f>VLOOKUP($A15,'3. % потерянной выручки (1С)'!$A:$D,4,0)</f>
        <v>2E-3</v>
      </c>
      <c r="M15" s="139">
        <f>IFERROR(VLOOKUP($A15,'1.1. Операторы (1С, Все ТА)'!$A:$G,4,0),"")</f>
        <v>32</v>
      </c>
      <c r="N15" s="136">
        <f>IFERROR(VLOOKUP($A15,'1.1. Операторы (1С, Все ТА)'!$A:$G,5,0),"")</f>
        <v>27</v>
      </c>
      <c r="O15" s="136">
        <f>IFERROR(VLOOKUP($A15,'1.1. Операторы (1С, Все ТА)'!$A:$G,7,0),"")</f>
        <v>27</v>
      </c>
      <c r="P15" s="91">
        <f t="shared" si="9"/>
        <v>27</v>
      </c>
      <c r="Q15" s="136">
        <f>IFERROR(VLOOKUP($A15,'1.1. Операторы (1С, Все ТА)'!$A:$G,6,0),"")</f>
        <v>27</v>
      </c>
      <c r="S15" s="139">
        <f>IFERROR(VLOOKUP($A15,'1.2. Операторы (1С, КУ)'!$A:$G,4,0),"")</f>
        <v>11</v>
      </c>
      <c r="T15" s="136">
        <f>IFERROR(VLOOKUP($A15,'1.2. Операторы (1С, КУ)'!$A:$G,5,0),"")</f>
        <v>11</v>
      </c>
      <c r="U15" s="136">
        <f>IFERROR(VLOOKUP($A15,'1.2. Операторы (1С, КУ)'!$A:$G,7,0),"")</f>
        <v>11</v>
      </c>
      <c r="V15" s="91">
        <f t="shared" si="10"/>
        <v>11</v>
      </c>
      <c r="W15" s="136">
        <f>IFERROR(VLOOKUP($A15,'1.2. Операторы (1С, КУ)'!$A:$G,6,0),"")</f>
        <v>11</v>
      </c>
      <c r="Y15" s="136" t="str">
        <f>IFERROR(VLOOKUP($A15,'2. Техники (1С)'!$A:$E,4,0),"")</f>
        <v/>
      </c>
      <c r="Z15" s="142" t="str">
        <f>IFERROR(VLOOKUP($A15,'2. Техники (1С)'!$A:$E,5,0),"")</f>
        <v/>
      </c>
      <c r="AA15" s="119">
        <f>IFERROR(VLOOKUP($A15,'6. Простои (Вин)'!$A:$D,4,0),0)</f>
        <v>15</v>
      </c>
      <c r="AB15" s="119">
        <f>IFERROR(VLOOKUP($A15,'5. ТА без связи (Вин)'!$A:$D,4,0),)</f>
        <v>15</v>
      </c>
      <c r="AC15" s="119">
        <f>VLOOKUP($A15,'4. Кол-во ТА (1С)'!$A:$E,5,0)</f>
        <v>275</v>
      </c>
    </row>
    <row r="16" spans="1:35" x14ac:dyDescent="0.25">
      <c r="A16" s="33" t="str">
        <f t="shared" si="6"/>
        <v>Уфа44805</v>
      </c>
      <c r="B16" s="51">
        <v>44805</v>
      </c>
      <c r="C16" s="32" t="s">
        <v>13</v>
      </c>
      <c r="D16" s="78">
        <f t="shared" si="7"/>
        <v>2.2857142857142857E-2</v>
      </c>
      <c r="E16" s="79">
        <f t="shared" si="0"/>
        <v>3.7142857142857144E-2</v>
      </c>
      <c r="F16" s="79" t="str">
        <f t="shared" si="1"/>
        <v/>
      </c>
      <c r="G16" s="79" t="str">
        <f t="shared" si="2"/>
        <v/>
      </c>
      <c r="H16" s="79">
        <f t="shared" si="3"/>
        <v>1</v>
      </c>
      <c r="I16" s="79">
        <f t="shared" si="11"/>
        <v>1</v>
      </c>
      <c r="J16" s="79">
        <f t="shared" si="4"/>
        <v>2.4691358024691357E-2</v>
      </c>
      <c r="K16" s="80">
        <f t="shared" si="5"/>
        <v>2.4691358024691357E-2</v>
      </c>
      <c r="L16" s="133">
        <f>VLOOKUP($A16,'3. % потерянной выручки (1С)'!$A:$D,4,0)</f>
        <v>1E-3</v>
      </c>
      <c r="M16" s="139">
        <f>IFERROR(VLOOKUP($A16,'1.1. Операторы (1С, Все ТА)'!$A:$G,4,0),"")</f>
        <v>77</v>
      </c>
      <c r="N16" s="136">
        <f>IFERROR(VLOOKUP($A16,'1.1. Операторы (1С, Все ТА)'!$A:$G,5,0),"")</f>
        <v>81</v>
      </c>
      <c r="O16" s="136">
        <f>IFERROR(VLOOKUP($A16,'1.1. Операторы (1С, Все ТА)'!$A:$G,7,0),"")</f>
        <v>77</v>
      </c>
      <c r="P16" s="91">
        <f t="shared" si="9"/>
        <v>79</v>
      </c>
      <c r="Q16" s="136">
        <f>IFERROR(VLOOKUP($A16,'1.1. Операторы (1С, Все ТА)'!$A:$G,6,0),"")</f>
        <v>79</v>
      </c>
      <c r="S16" s="139">
        <f>IFERROR(VLOOKUP($A16,'1.2. Операторы (1С, КУ)'!$A:$G,4,0),"")</f>
        <v>59</v>
      </c>
      <c r="T16" s="136">
        <f>IFERROR(VLOOKUP($A16,'1.2. Операторы (1С, КУ)'!$A:$G,5,0),"")</f>
        <v>62</v>
      </c>
      <c r="U16" s="136">
        <f>IFERROR(VLOOKUP($A16,'1.2. Операторы (1С, КУ)'!$A:$G,7,0),"")</f>
        <v>59</v>
      </c>
      <c r="V16" s="91">
        <f t="shared" si="10"/>
        <v>61</v>
      </c>
      <c r="W16" s="136">
        <f>IFERROR(VLOOKUP($A16,'1.2. Операторы (1С, КУ)'!$A:$G,6,0),"")</f>
        <v>61</v>
      </c>
      <c r="Y16" s="136" t="str">
        <f>IFERROR(VLOOKUP($A16,'2. Техники (1С)'!$A:$E,4,0),"")</f>
        <v/>
      </c>
      <c r="Z16" s="142">
        <f>IFERROR(VLOOKUP($A16,'2. Техники (1С)'!$A:$E,5,0),"")</f>
        <v>1</v>
      </c>
      <c r="AA16" s="119">
        <f>IFERROR(VLOOKUP($A16,'6. Простои (Вин)'!$A:$D,4,0),0)</f>
        <v>13</v>
      </c>
      <c r="AB16" s="119">
        <f>IFERROR(VLOOKUP($A16,'5. ТА без связи (Вин)'!$A:$D,4,0),)</f>
        <v>8</v>
      </c>
      <c r="AC16" s="119">
        <f>VLOOKUP($A16,'4. Кол-во ТА (1С)'!$A:$E,5,0)</f>
        <v>350</v>
      </c>
    </row>
    <row r="17" spans="1:29" ht="15.75" thickBot="1" x14ac:dyDescent="0.3">
      <c r="A17" s="44" t="str">
        <f t="shared" si="6"/>
        <v>Ярославль44805</v>
      </c>
      <c r="B17" s="53">
        <v>44805</v>
      </c>
      <c r="C17" s="45" t="s">
        <v>14</v>
      </c>
      <c r="D17" s="81">
        <f t="shared" si="7"/>
        <v>2.3809523809523808E-2</v>
      </c>
      <c r="E17" s="82">
        <f t="shared" si="0"/>
        <v>5.8201058201058198E-2</v>
      </c>
      <c r="F17" s="82" t="str">
        <f t="shared" si="1"/>
        <v/>
      </c>
      <c r="G17" s="82" t="str">
        <f t="shared" si="2"/>
        <v/>
      </c>
      <c r="H17" s="82" t="str">
        <f t="shared" si="3"/>
        <v/>
      </c>
      <c r="I17" s="82" t="str">
        <f t="shared" si="11"/>
        <v/>
      </c>
      <c r="J17" s="82">
        <f t="shared" si="4"/>
        <v>3.5714285714285698E-2</v>
      </c>
      <c r="K17" s="83">
        <f>IFERROR(1-Q17/N17,"")</f>
        <v>3.5714285714285698E-2</v>
      </c>
      <c r="L17" s="134">
        <f>VLOOKUP($A17,'3. % потерянной выручки (1С)'!$A:$D,4,0)</f>
        <v>3.0000000000000001E-3</v>
      </c>
      <c r="M17" s="140" t="str">
        <f>IFERROR(VLOOKUP($A17,'1.1. Операторы (1С, Все ТА)'!$A:$G,4,0),"")</f>
        <v/>
      </c>
      <c r="N17" s="137">
        <f>IFERROR(VLOOKUP($A17,'1.1. Операторы (1С, Все ТА)'!$A:$G,5,0),"")</f>
        <v>56</v>
      </c>
      <c r="O17" s="137" t="str">
        <f>IFERROR(VLOOKUP($A17,'1.1. Операторы (1С, Все ТА)'!$A:$G,7,0),"")</f>
        <v/>
      </c>
      <c r="P17" s="92">
        <f t="shared" si="9"/>
        <v>54</v>
      </c>
      <c r="Q17" s="137">
        <f>IFERROR(VLOOKUP($A17,'1.1. Операторы (1С, Все ТА)'!$A:$G,6,0),"")</f>
        <v>54</v>
      </c>
      <c r="R17" s="65"/>
      <c r="S17" s="140" t="str">
        <f>IFERROR(VLOOKUP($A17,'1.2. Операторы (1С, КУ)'!$A:$G,4,0),"")</f>
        <v/>
      </c>
      <c r="T17" s="137">
        <f>IFERROR(VLOOKUP($A17,'1.2. Операторы (1С, КУ)'!$A:$G,5,0),"")</f>
        <v>6</v>
      </c>
      <c r="U17" s="137" t="str">
        <f>IFERROR(VLOOKUP($A17,'1.2. Операторы (1С, КУ)'!$A:$G,7,0),"")</f>
        <v/>
      </c>
      <c r="V17" s="92">
        <f t="shared" si="10"/>
        <v>6</v>
      </c>
      <c r="W17" s="137">
        <f>IFERROR(VLOOKUP($A17,'1.2. Операторы (1С, КУ)'!$A:$G,6,0),"")</f>
        <v>6</v>
      </c>
      <c r="X17" s="65"/>
      <c r="Y17" s="137">
        <f>IFERROR(VLOOKUP($A17,'2. Техники (1С)'!$A:$E,4,0),"")</f>
        <v>4</v>
      </c>
      <c r="Z17" s="143">
        <f>IFERROR(VLOOKUP($A17,'2. Техники (1С)'!$A:$E,5,0),"")</f>
        <v>5</v>
      </c>
      <c r="AA17" s="120">
        <f>IFERROR(VLOOKUP($A17,'6. Простои (Вин)'!$A:$D,4,0),0)</f>
        <v>22</v>
      </c>
      <c r="AB17" s="120">
        <f>IFERROR(VLOOKUP($A17,'5. ТА без связи (Вин)'!$A:$D,4,0),)</f>
        <v>9</v>
      </c>
      <c r="AC17" s="120">
        <f>VLOOKUP($A17,'4. Кол-во ТА (1С)'!$A:$E,5,0)</f>
        <v>378</v>
      </c>
    </row>
    <row r="18" spans="1:29" ht="15.75" thickBot="1" x14ac:dyDescent="0.3">
      <c r="A18" s="49" t="str">
        <f t="shared" si="6"/>
        <v>ФС44805</v>
      </c>
      <c r="B18" s="54">
        <v>44805</v>
      </c>
      <c r="C18" s="46" t="s">
        <v>15</v>
      </c>
      <c r="D18" s="84">
        <f t="shared" si="7"/>
        <v>2.9901031796167613E-2</v>
      </c>
      <c r="E18" s="85">
        <f t="shared" si="0"/>
        <v>5.2010949673615497E-2</v>
      </c>
      <c r="F18" s="85" t="str">
        <f t="shared" si="1"/>
        <v/>
      </c>
      <c r="G18" s="85" t="str">
        <f t="shared" si="2"/>
        <v/>
      </c>
      <c r="H18" s="85">
        <f t="shared" si="3"/>
        <v>0.57637231503579955</v>
      </c>
      <c r="I18" s="85">
        <f>IFERROR(U18/S18,"")</f>
        <v>0.67540983606557381</v>
      </c>
      <c r="J18" s="86">
        <f t="shared" si="4"/>
        <v>0.10606060606060608</v>
      </c>
      <c r="K18" s="87">
        <f t="shared" ref="K18:K31" si="12">IFERROR(1-Q18/N18,"")</f>
        <v>0.10606060606060608</v>
      </c>
      <c r="L18" s="63">
        <f>VLOOKUP($A18,'3. % потерянной выручки (1С)'!$A:$D,4,0)</f>
        <v>1E-3</v>
      </c>
      <c r="M18" s="93">
        <f>SUM(M4:M17)</f>
        <v>838</v>
      </c>
      <c r="N18" s="94">
        <f>SUM(N4:N17)</f>
        <v>660</v>
      </c>
      <c r="O18" s="94">
        <f>SUM(O4:O17)</f>
        <v>483</v>
      </c>
      <c r="P18" s="94">
        <f t="shared" ref="P18" si="13">Q18+R18</f>
        <v>590</v>
      </c>
      <c r="Q18" s="94">
        <f>SUM(Q4:Q17)</f>
        <v>590</v>
      </c>
      <c r="R18" s="66">
        <f>SUM(R4:R17)</f>
        <v>0</v>
      </c>
      <c r="S18" s="93">
        <f>SUM(S4:S17)</f>
        <v>305</v>
      </c>
      <c r="T18" s="94">
        <f>SUM(T4:T17)</f>
        <v>255</v>
      </c>
      <c r="U18" s="94">
        <f>SUM(U4:U17)</f>
        <v>206</v>
      </c>
      <c r="V18" s="94">
        <f>W18+X18</f>
        <v>225</v>
      </c>
      <c r="W18" s="94">
        <f t="shared" ref="W18:AC18" si="14">SUM(W4:W17)</f>
        <v>225</v>
      </c>
      <c r="X18" s="66">
        <f t="shared" si="14"/>
        <v>0</v>
      </c>
      <c r="Y18" s="94">
        <f t="shared" si="14"/>
        <v>16</v>
      </c>
      <c r="Z18" s="99">
        <f t="shared" si="14"/>
        <v>30</v>
      </c>
      <c r="AA18" s="97">
        <f t="shared" si="14"/>
        <v>247</v>
      </c>
      <c r="AB18" s="97">
        <f t="shared" si="14"/>
        <v>142</v>
      </c>
      <c r="AC18" s="97">
        <f t="shared" si="14"/>
        <v>4749</v>
      </c>
    </row>
    <row r="19" spans="1:29" ht="15.75" thickTop="1" x14ac:dyDescent="0.25">
      <c r="A19" s="47" t="str">
        <f>CONCATENATE(C19,B19)</f>
        <v>Белгород44806</v>
      </c>
      <c r="B19" s="52">
        <v>44806</v>
      </c>
      <c r="C19" s="48" t="s">
        <v>4</v>
      </c>
      <c r="D19" s="75">
        <f>IFERROR(AB19/AC19,"")</f>
        <v>6.7010309278350513E-2</v>
      </c>
      <c r="E19" s="76">
        <f t="shared" ref="E19:E33" si="15">IFERROR(AA19/AC19,"")</f>
        <v>6.1855670103092786E-2</v>
      </c>
      <c r="F19" s="76" t="str">
        <f t="shared" ref="F19:F33" si="16">IFERROR(AG19/AD19,"")</f>
        <v/>
      </c>
      <c r="G19" s="76" t="str">
        <f t="shared" ref="G19:G33" si="17">IFERROR((AA19-AG19)/AD19,"")</f>
        <v/>
      </c>
      <c r="H19" s="76" t="str">
        <f t="shared" ref="H19:H33" si="18">IFERROR(O19/M19,"")</f>
        <v/>
      </c>
      <c r="I19" s="76" t="str">
        <f>IFERROR(U19/S19,"")</f>
        <v/>
      </c>
      <c r="J19" s="76">
        <f t="shared" ref="J19:J33" si="19">IFERROR(1-P19/N19,"")</f>
        <v>0</v>
      </c>
      <c r="K19" s="77">
        <f t="shared" si="12"/>
        <v>0</v>
      </c>
      <c r="L19" s="132">
        <f>VLOOKUP($A19,'3. % потерянной выручки (1С)'!$A:$D,4,0)</f>
        <v>5.0000000000000001E-3</v>
      </c>
      <c r="M19" s="138" t="str">
        <f>IFERROR(VLOOKUP($A19,'1.1. Операторы (1С, Все ТА)'!$A:$G,4,0),"")</f>
        <v/>
      </c>
      <c r="N19" s="135">
        <f>IFERROR(VLOOKUP($A19,'1.1. Операторы (1С, Все ТА)'!$A:$G,5,0),"")</f>
        <v>1</v>
      </c>
      <c r="O19" s="135" t="str">
        <f>IFERROR(VLOOKUP($A19,'1.1. Операторы (1С, Все ТА)'!$A:$G,7,0),"")</f>
        <v/>
      </c>
      <c r="P19" s="90">
        <f>IFERROR(Q19+R19,"")</f>
        <v>1</v>
      </c>
      <c r="Q19" s="135">
        <f>IFERROR(VLOOKUP($A19,'1.1. Операторы (1С, Все ТА)'!$A:$G,6,0),"")</f>
        <v>1</v>
      </c>
      <c r="R19" s="64"/>
      <c r="S19" s="138" t="str">
        <f>IFERROR(VLOOKUP($A19,'1.2. Операторы (1С, КУ)'!$A:$G,4,0),"")</f>
        <v/>
      </c>
      <c r="T19" s="135" t="str">
        <f>IFERROR(VLOOKUP($A19,'1.2. Операторы (1С, КУ)'!$A:$G,5,0),"")</f>
        <v/>
      </c>
      <c r="U19" s="135" t="str">
        <f>IFERROR(VLOOKUP($A19,'1.2. Операторы (1С, КУ)'!$A:$G,7,0),"")</f>
        <v/>
      </c>
      <c r="V19" s="90" t="str">
        <f>IFERROR(W19+X19,"")</f>
        <v/>
      </c>
      <c r="W19" s="135" t="str">
        <f>IFERROR(VLOOKUP($A19,'1.2. Операторы (1С, КУ)'!$A:$G,6,0),"")</f>
        <v/>
      </c>
      <c r="X19" s="64"/>
      <c r="Y19" s="135" t="str">
        <f>IFERROR(VLOOKUP($A19,'2. Техники (1С)'!$A:$E,4,0),"")</f>
        <v/>
      </c>
      <c r="Z19" s="141" t="str">
        <f>IFERROR(VLOOKUP($A19,'2. Техники (1С)'!$A:$E,5,0),"")</f>
        <v/>
      </c>
      <c r="AA19" s="118">
        <f>IFERROR(VLOOKUP($A19,'6. Простои (Вин)'!$A:$D,4,0),0)</f>
        <v>12</v>
      </c>
      <c r="AB19" s="118">
        <f>IFERROR(VLOOKUP($A19,'5. ТА без связи (Вин)'!$A:$D,4,0),)</f>
        <v>13</v>
      </c>
      <c r="AC19" s="118">
        <f>VLOOKUP($A19,'4. Кол-во ТА (1С)'!$A:$E,5,0)</f>
        <v>194</v>
      </c>
    </row>
    <row r="20" spans="1:29" x14ac:dyDescent="0.25">
      <c r="A20" s="33" t="str">
        <f t="shared" ref="A20:A33" si="20">CONCATENATE(C20,B20)</f>
        <v>Воронеж44806</v>
      </c>
      <c r="B20" s="51">
        <v>44806</v>
      </c>
      <c r="C20" s="32" t="s">
        <v>5</v>
      </c>
      <c r="D20" s="78">
        <f t="shared" ref="D20:D33" si="21">IFERROR(AB20/AC20,"")</f>
        <v>3.6553524804177548E-2</v>
      </c>
      <c r="E20" s="79">
        <f t="shared" si="15"/>
        <v>2.0887728459530026E-2</v>
      </c>
      <c r="F20" s="79" t="str">
        <f t="shared" si="16"/>
        <v/>
      </c>
      <c r="G20" s="79" t="str">
        <f t="shared" si="17"/>
        <v/>
      </c>
      <c r="H20" s="79">
        <f t="shared" si="18"/>
        <v>1</v>
      </c>
      <c r="I20" s="79">
        <f t="shared" ref="I20:I22" si="22">IFERROR(U20/S20,"")</f>
        <v>1</v>
      </c>
      <c r="J20" s="79">
        <f t="shared" si="19"/>
        <v>0.1875</v>
      </c>
      <c r="K20" s="80">
        <f t="shared" si="12"/>
        <v>0.1875</v>
      </c>
      <c r="L20" s="133">
        <f>VLOOKUP($A20,'3. % потерянной выручки (1С)'!$A:$D,4,0)</f>
        <v>2E-3</v>
      </c>
      <c r="M20" s="139">
        <f>IFERROR(VLOOKUP($A20,'1.1. Операторы (1С, Все ТА)'!$A:$G,4,0),"")</f>
        <v>47</v>
      </c>
      <c r="N20" s="136">
        <f>IFERROR(VLOOKUP($A20,'1.1. Операторы (1С, Все ТА)'!$A:$G,5,0),"")</f>
        <v>48</v>
      </c>
      <c r="O20" s="136">
        <f>IFERROR(VLOOKUP($A20,'1.1. Операторы (1С, Все ТА)'!$A:$G,7,0),"")</f>
        <v>47</v>
      </c>
      <c r="P20" s="91">
        <f t="shared" ref="P20:P32" si="23">IFERROR(Q20+R20,"")</f>
        <v>39</v>
      </c>
      <c r="Q20" s="136">
        <f>IFERROR(VLOOKUP($A20,'1.1. Операторы (1С, Все ТА)'!$A:$G,6,0),"")</f>
        <v>39</v>
      </c>
      <c r="S20" s="139">
        <f>IFERROR(VLOOKUP($A20,'1.2. Операторы (1С, КУ)'!$A:$G,4,0),"")</f>
        <v>32</v>
      </c>
      <c r="T20" s="136">
        <f>IFERROR(VLOOKUP($A20,'1.2. Операторы (1С, КУ)'!$A:$G,5,0),"")</f>
        <v>32</v>
      </c>
      <c r="U20" s="136">
        <f>IFERROR(VLOOKUP($A20,'1.2. Операторы (1С, КУ)'!$A:$G,7,0),"")</f>
        <v>32</v>
      </c>
      <c r="V20" s="91">
        <f t="shared" ref="V20:V32" si="24">IFERROR(W20+X20,"")</f>
        <v>24</v>
      </c>
      <c r="W20" s="136">
        <f>IFERROR(VLOOKUP($A20,'1.2. Операторы (1С, КУ)'!$A:$G,6,0),"")</f>
        <v>24</v>
      </c>
      <c r="Y20" s="136" t="str">
        <f>IFERROR(VLOOKUP($A20,'2. Техники (1С)'!$A:$E,4,0),"")</f>
        <v/>
      </c>
      <c r="Z20" s="142" t="str">
        <f>IFERROR(VLOOKUP($A20,'2. Техники (1С)'!$A:$E,5,0),"")</f>
        <v/>
      </c>
      <c r="AA20" s="119">
        <f>IFERROR(VLOOKUP($A20,'6. Простои (Вин)'!$A:$D,4,0),0)</f>
        <v>8</v>
      </c>
      <c r="AB20" s="119">
        <f>IFERROR(VLOOKUP($A20,'5. ТА без связи (Вин)'!$A:$D,4,0),)</f>
        <v>14</v>
      </c>
      <c r="AC20" s="119">
        <f>VLOOKUP($A20,'4. Кол-во ТА (1С)'!$A:$E,5,0)</f>
        <v>383</v>
      </c>
    </row>
    <row r="21" spans="1:29" x14ac:dyDescent="0.25">
      <c r="A21" s="33" t="str">
        <f t="shared" si="20"/>
        <v>Калининград44806</v>
      </c>
      <c r="B21" s="51">
        <v>44806</v>
      </c>
      <c r="C21" s="32" t="s">
        <v>6</v>
      </c>
      <c r="D21" s="78">
        <f t="shared" si="21"/>
        <v>2.7243589743589744E-2</v>
      </c>
      <c r="E21" s="79">
        <f t="shared" si="15"/>
        <v>3.685897435897436E-2</v>
      </c>
      <c r="F21" s="79" t="str">
        <f t="shared" si="16"/>
        <v/>
      </c>
      <c r="G21" s="79" t="str">
        <f t="shared" si="17"/>
        <v/>
      </c>
      <c r="H21" s="79">
        <f t="shared" si="18"/>
        <v>0.55172413793103448</v>
      </c>
      <c r="I21" s="79">
        <f t="shared" si="22"/>
        <v>0.55555555555555558</v>
      </c>
      <c r="J21" s="79">
        <f t="shared" si="19"/>
        <v>8.4337349397590411E-2</v>
      </c>
      <c r="K21" s="80">
        <f t="shared" si="12"/>
        <v>8.4337349397590411E-2</v>
      </c>
      <c r="L21" s="133">
        <f>VLOOKUP($A21,'3. % потерянной выручки (1С)'!$A:$D,4,0)</f>
        <v>2E-3</v>
      </c>
      <c r="M21" s="139">
        <f>IFERROR(VLOOKUP($A21,'1.1. Операторы (1С, Все ТА)'!$A:$G,4,0),"")</f>
        <v>29</v>
      </c>
      <c r="N21" s="136">
        <f>IFERROR(VLOOKUP($A21,'1.1. Операторы (1С, Все ТА)'!$A:$G,5,0),"")</f>
        <v>83</v>
      </c>
      <c r="O21" s="136">
        <f>IFERROR(VLOOKUP($A21,'1.1. Операторы (1С, Все ТА)'!$A:$G,7,0),"")</f>
        <v>16</v>
      </c>
      <c r="P21" s="91">
        <f t="shared" si="23"/>
        <v>76</v>
      </c>
      <c r="Q21" s="136">
        <f>IFERROR(VLOOKUP($A21,'1.1. Операторы (1С, Все ТА)'!$A:$G,6,0),"")</f>
        <v>76</v>
      </c>
      <c r="S21" s="139">
        <f>IFERROR(VLOOKUP($A21,'1.2. Операторы (1С, КУ)'!$A:$G,4,0),"")</f>
        <v>9</v>
      </c>
      <c r="T21" s="136">
        <f>IFERROR(VLOOKUP($A21,'1.2. Операторы (1С, КУ)'!$A:$G,5,0),"")</f>
        <v>30</v>
      </c>
      <c r="U21" s="136">
        <f>IFERROR(VLOOKUP($A21,'1.2. Операторы (1С, КУ)'!$A:$G,7,0),"")</f>
        <v>5</v>
      </c>
      <c r="V21" s="91">
        <f t="shared" si="24"/>
        <v>28</v>
      </c>
      <c r="W21" s="136">
        <f>IFERROR(VLOOKUP($A21,'1.2. Операторы (1С, КУ)'!$A:$G,6,0),"")</f>
        <v>28</v>
      </c>
      <c r="Y21" s="136">
        <f>IFERROR(VLOOKUP($A21,'2. Техники (1С)'!$A:$E,4,0),"")</f>
        <v>9</v>
      </c>
      <c r="Z21" s="142">
        <f>IFERROR(VLOOKUP($A21,'2. Техники (1С)'!$A:$E,5,0),"")</f>
        <v>9</v>
      </c>
      <c r="AA21" s="119">
        <f>IFERROR(VLOOKUP($A21,'6. Простои (Вин)'!$A:$D,4,0),0)</f>
        <v>23</v>
      </c>
      <c r="AB21" s="119">
        <f>IFERROR(VLOOKUP($A21,'5. ТА без связи (Вин)'!$A:$D,4,0),)</f>
        <v>17</v>
      </c>
      <c r="AC21" s="119">
        <f>VLOOKUP($A21,'4. Кол-во ТА (1С)'!$A:$E,5,0)</f>
        <v>624</v>
      </c>
    </row>
    <row r="22" spans="1:29" x14ac:dyDescent="0.25">
      <c r="A22" s="33" t="str">
        <f t="shared" si="20"/>
        <v>Липецк44806</v>
      </c>
      <c r="B22" s="51">
        <v>44806</v>
      </c>
      <c r="C22" s="32" t="s">
        <v>7</v>
      </c>
      <c r="D22" s="78">
        <f t="shared" si="21"/>
        <v>4.2134831460674156E-2</v>
      </c>
      <c r="E22" s="79">
        <f t="shared" si="15"/>
        <v>4.2134831460674156E-2</v>
      </c>
      <c r="F22" s="79" t="str">
        <f t="shared" si="16"/>
        <v/>
      </c>
      <c r="G22" s="79" t="str">
        <f t="shared" si="17"/>
        <v/>
      </c>
      <c r="H22" s="79">
        <f t="shared" si="18"/>
        <v>0.93877551020408168</v>
      </c>
      <c r="I22" s="79">
        <f t="shared" si="22"/>
        <v>0.96</v>
      </c>
      <c r="J22" s="79">
        <f t="shared" si="19"/>
        <v>0</v>
      </c>
      <c r="K22" s="80">
        <f t="shared" si="12"/>
        <v>0</v>
      </c>
      <c r="L22" s="133">
        <f>VLOOKUP($A22,'3. % потерянной выручки (1С)'!$A:$D,4,0)</f>
        <v>4.0000000000000001E-3</v>
      </c>
      <c r="M22" s="139">
        <f>IFERROR(VLOOKUP($A22,'1.1. Операторы (1С, Все ТА)'!$A:$G,4,0),"")</f>
        <v>49</v>
      </c>
      <c r="N22" s="136">
        <f>IFERROR(VLOOKUP($A22,'1.1. Операторы (1С, Все ТА)'!$A:$G,5,0),"")</f>
        <v>46</v>
      </c>
      <c r="O22" s="136">
        <f>IFERROR(VLOOKUP($A22,'1.1. Операторы (1С, Все ТА)'!$A:$G,7,0),"")</f>
        <v>46</v>
      </c>
      <c r="P22" s="91">
        <f t="shared" si="23"/>
        <v>46</v>
      </c>
      <c r="Q22" s="136">
        <f>IFERROR(VLOOKUP($A22,'1.1. Операторы (1С, Все ТА)'!$A:$G,6,0),"")</f>
        <v>46</v>
      </c>
      <c r="S22" s="139">
        <f>IFERROR(VLOOKUP($A22,'1.2. Операторы (1С, КУ)'!$A:$G,4,0),"")</f>
        <v>25</v>
      </c>
      <c r="T22" s="136">
        <f>IFERROR(VLOOKUP($A22,'1.2. Операторы (1С, КУ)'!$A:$G,5,0),"")</f>
        <v>24</v>
      </c>
      <c r="U22" s="136">
        <f>IFERROR(VLOOKUP($A22,'1.2. Операторы (1С, КУ)'!$A:$G,7,0),"")</f>
        <v>24</v>
      </c>
      <c r="V22" s="91">
        <f t="shared" si="24"/>
        <v>24</v>
      </c>
      <c r="W22" s="136">
        <f>IFERROR(VLOOKUP($A22,'1.2. Операторы (1С, КУ)'!$A:$G,6,0),"")</f>
        <v>24</v>
      </c>
      <c r="Y22" s="136" t="str">
        <f>IFERROR(VLOOKUP($A22,'2. Техники (1С)'!$A:$E,4,0),"")</f>
        <v/>
      </c>
      <c r="Z22" s="142">
        <f>IFERROR(VLOOKUP($A22,'2. Техники (1С)'!$A:$E,5,0),"")</f>
        <v>2</v>
      </c>
      <c r="AA22" s="119">
        <f>IFERROR(VLOOKUP($A22,'6. Простои (Вин)'!$A:$D,4,0),0)</f>
        <v>15</v>
      </c>
      <c r="AB22" s="119">
        <f>IFERROR(VLOOKUP($A22,'5. ТА без связи (Вин)'!$A:$D,4,0),)</f>
        <v>15</v>
      </c>
      <c r="AC22" s="119">
        <f>VLOOKUP($A22,'4. Кол-во ТА (1С)'!$A:$E,5,0)</f>
        <v>356</v>
      </c>
    </row>
    <row r="23" spans="1:29" x14ac:dyDescent="0.25">
      <c r="A23" s="33" t="str">
        <f t="shared" si="20"/>
        <v>Москва44806</v>
      </c>
      <c r="B23" s="51">
        <v>44806</v>
      </c>
      <c r="C23" s="32" t="s">
        <v>8</v>
      </c>
      <c r="D23" s="78">
        <f t="shared" si="21"/>
        <v>2.5793650793650792E-2</v>
      </c>
      <c r="E23" s="79">
        <f t="shared" si="15"/>
        <v>1.5873015873015872E-2</v>
      </c>
      <c r="F23" s="79" t="str">
        <f t="shared" si="16"/>
        <v/>
      </c>
      <c r="G23" s="79" t="str">
        <f t="shared" si="17"/>
        <v/>
      </c>
      <c r="H23" s="79">
        <f t="shared" si="18"/>
        <v>0.93548387096774188</v>
      </c>
      <c r="I23" s="79">
        <f>IFERROR(U23/S23,"")</f>
        <v>1</v>
      </c>
      <c r="J23" s="79">
        <f t="shared" si="19"/>
        <v>0.13793103448275867</v>
      </c>
      <c r="K23" s="80">
        <f t="shared" si="12"/>
        <v>0.13793103448275867</v>
      </c>
      <c r="L23" s="133">
        <f>VLOOKUP($A23,'3. % потерянной выручки (1С)'!$A:$D,4,0)</f>
        <v>2E-3</v>
      </c>
      <c r="M23" s="139">
        <f>IFERROR(VLOOKUP($A23,'1.1. Операторы (1С, Все ТА)'!$A:$G,4,0),"")</f>
        <v>31</v>
      </c>
      <c r="N23" s="136">
        <f>IFERROR(VLOOKUP($A23,'1.1. Операторы (1С, Все ТА)'!$A:$G,5,0),"")</f>
        <v>29</v>
      </c>
      <c r="O23" s="136">
        <f>IFERROR(VLOOKUP($A23,'1.1. Операторы (1С, Все ТА)'!$A:$G,7,0),"")</f>
        <v>29</v>
      </c>
      <c r="P23" s="91">
        <f t="shared" si="23"/>
        <v>25</v>
      </c>
      <c r="Q23" s="136">
        <f>IFERROR(VLOOKUP($A23,'1.1. Операторы (1С, Все ТА)'!$A:$G,6,0),"")</f>
        <v>25</v>
      </c>
      <c r="S23" s="139">
        <f>IFERROR(VLOOKUP($A23,'1.2. Операторы (1С, КУ)'!$A:$G,4,0),"")</f>
        <v>2</v>
      </c>
      <c r="T23" s="136">
        <f>IFERROR(VLOOKUP($A23,'1.2. Операторы (1С, КУ)'!$A:$G,5,0),"")</f>
        <v>2</v>
      </c>
      <c r="U23" s="136">
        <f>IFERROR(VLOOKUP($A23,'1.2. Операторы (1С, КУ)'!$A:$G,7,0),"")</f>
        <v>2</v>
      </c>
      <c r="V23" s="91">
        <f t="shared" si="24"/>
        <v>2</v>
      </c>
      <c r="W23" s="136">
        <f>IFERROR(VLOOKUP($A23,'1.2. Операторы (1С, КУ)'!$A:$G,6,0),"")</f>
        <v>2</v>
      </c>
      <c r="Y23" s="136" t="str">
        <f>IFERROR(VLOOKUP($A23,'2. Техники (1С)'!$A:$E,4,0),"")</f>
        <v/>
      </c>
      <c r="Z23" s="142" t="str">
        <f>IFERROR(VLOOKUP($A23,'2. Техники (1С)'!$A:$E,5,0),"")</f>
        <v/>
      </c>
      <c r="AA23" s="119">
        <f>IFERROR(VLOOKUP($A23,'6. Простои (Вин)'!$A:$D,4,0),0)</f>
        <v>8</v>
      </c>
      <c r="AB23" s="119">
        <f>IFERROR(VLOOKUP($A23,'5. ТА без связи (Вин)'!$A:$D,4,0),)</f>
        <v>13</v>
      </c>
      <c r="AC23" s="119">
        <f>VLOOKUP($A23,'4. Кол-во ТА (1С)'!$A:$E,5,0)</f>
        <v>504</v>
      </c>
    </row>
    <row r="24" spans="1:29" x14ac:dyDescent="0.25">
      <c r="A24" s="33" t="str">
        <f t="shared" si="20"/>
        <v>Наб.Челны44806</v>
      </c>
      <c r="B24" s="51">
        <v>44806</v>
      </c>
      <c r="C24" s="32" t="s">
        <v>37</v>
      </c>
      <c r="D24" s="78">
        <f t="shared" si="21"/>
        <v>3.9215686274509803E-3</v>
      </c>
      <c r="E24" s="79">
        <f t="shared" si="15"/>
        <v>1.1764705882352941E-2</v>
      </c>
      <c r="F24" s="79" t="str">
        <f t="shared" si="16"/>
        <v/>
      </c>
      <c r="G24" s="79" t="str">
        <f t="shared" si="17"/>
        <v/>
      </c>
      <c r="H24" s="79">
        <f t="shared" si="18"/>
        <v>0.68478260869565222</v>
      </c>
      <c r="I24" s="79">
        <f t="shared" ref="I24:I32" si="25">IFERROR(U24/S24,"")</f>
        <v>0.93333333333333335</v>
      </c>
      <c r="J24" s="79">
        <f t="shared" si="19"/>
        <v>0</v>
      </c>
      <c r="K24" s="80">
        <f t="shared" si="12"/>
        <v>0</v>
      </c>
      <c r="L24" s="133">
        <f>VLOOKUP($A24,'3. % потерянной выручки (1С)'!$A:$D,4,0)</f>
        <v>1E-3</v>
      </c>
      <c r="M24" s="139">
        <f>IFERROR(VLOOKUP($A24,'1.1. Операторы (1С, Все ТА)'!$A:$G,4,0),"")</f>
        <v>92</v>
      </c>
      <c r="N24" s="136">
        <f>IFERROR(VLOOKUP($A24,'1.1. Операторы (1С, Все ТА)'!$A:$G,5,0),"")</f>
        <v>63</v>
      </c>
      <c r="O24" s="136">
        <f>IFERROR(VLOOKUP($A24,'1.1. Операторы (1С, Все ТА)'!$A:$G,7,0),"")</f>
        <v>63</v>
      </c>
      <c r="P24" s="91">
        <f t="shared" si="23"/>
        <v>63</v>
      </c>
      <c r="Q24" s="136">
        <f>IFERROR(VLOOKUP($A24,'1.1. Операторы (1С, Все ТА)'!$A:$G,6,0),"")</f>
        <v>63</v>
      </c>
      <c r="S24" s="139">
        <f>IFERROR(VLOOKUP($A24,'1.2. Операторы (1С, КУ)'!$A:$G,4,0),"")</f>
        <v>45</v>
      </c>
      <c r="T24" s="136">
        <f>IFERROR(VLOOKUP($A24,'1.2. Операторы (1С, КУ)'!$A:$G,5,0),"")</f>
        <v>42</v>
      </c>
      <c r="U24" s="136">
        <f>IFERROR(VLOOKUP($A24,'1.2. Операторы (1С, КУ)'!$A:$G,7,0),"")</f>
        <v>42</v>
      </c>
      <c r="V24" s="91">
        <f t="shared" si="24"/>
        <v>42</v>
      </c>
      <c r="W24" s="136">
        <f>IFERROR(VLOOKUP($A24,'1.2. Операторы (1С, КУ)'!$A:$G,6,0),"")</f>
        <v>42</v>
      </c>
      <c r="Y24" s="136" t="str">
        <f>IFERROR(VLOOKUP($A24,'2. Техники (1С)'!$A:$E,4,0),"")</f>
        <v/>
      </c>
      <c r="Z24" s="142" t="str">
        <f>IFERROR(VLOOKUP($A24,'2. Техники (1С)'!$A:$E,5,0),"")</f>
        <v/>
      </c>
      <c r="AA24" s="119">
        <f>IFERROR(VLOOKUP($A24,'6. Простои (Вин)'!$A:$D,4,0),0)</f>
        <v>3</v>
      </c>
      <c r="AB24" s="119">
        <f>IFERROR(VLOOKUP($A24,'5. ТА без связи (Вин)'!$A:$D,4,0),)</f>
        <v>1</v>
      </c>
      <c r="AC24" s="119">
        <f>VLOOKUP($A24,'4. Кол-во ТА (1С)'!$A:$E,5,0)</f>
        <v>255</v>
      </c>
    </row>
    <row r="25" spans="1:29" x14ac:dyDescent="0.25">
      <c r="A25" s="33" t="str">
        <f t="shared" si="20"/>
        <v>Нижний Новгород44806</v>
      </c>
      <c r="B25" s="51">
        <v>44806</v>
      </c>
      <c r="C25" s="32" t="s">
        <v>38</v>
      </c>
      <c r="D25" s="78">
        <f t="shared" si="21"/>
        <v>3.5483870967741936E-2</v>
      </c>
      <c r="E25" s="79">
        <f t="shared" si="15"/>
        <v>3.870967741935484E-2</v>
      </c>
      <c r="F25" s="79" t="str">
        <f t="shared" si="16"/>
        <v/>
      </c>
      <c r="G25" s="79" t="str">
        <f t="shared" si="17"/>
        <v/>
      </c>
      <c r="H25" s="79">
        <f t="shared" si="18"/>
        <v>0.52173913043478259</v>
      </c>
      <c r="I25" s="79">
        <f t="shared" si="25"/>
        <v>0.44444444444444442</v>
      </c>
      <c r="J25" s="79">
        <f t="shared" si="19"/>
        <v>3.2786885245901676E-2</v>
      </c>
      <c r="K25" s="80">
        <f t="shared" si="12"/>
        <v>3.2786885245901676E-2</v>
      </c>
      <c r="L25" s="133">
        <f>VLOOKUP($A25,'3. % потерянной выручки (1С)'!$A:$D,4,0)</f>
        <v>2E-3</v>
      </c>
      <c r="M25" s="139">
        <f>IFERROR(VLOOKUP($A25,'1.1. Операторы (1С, Все ТА)'!$A:$G,4,0),"")</f>
        <v>46</v>
      </c>
      <c r="N25" s="136">
        <f>IFERROR(VLOOKUP($A25,'1.1. Операторы (1С, Все ТА)'!$A:$G,5,0),"")</f>
        <v>61</v>
      </c>
      <c r="O25" s="136">
        <f>IFERROR(VLOOKUP($A25,'1.1. Операторы (1С, Все ТА)'!$A:$G,7,0),"")</f>
        <v>24</v>
      </c>
      <c r="P25" s="91">
        <f t="shared" si="23"/>
        <v>59</v>
      </c>
      <c r="Q25" s="136">
        <f>IFERROR(VLOOKUP($A25,'1.1. Операторы (1С, Все ТА)'!$A:$G,6,0),"")</f>
        <v>59</v>
      </c>
      <c r="S25" s="139">
        <f>IFERROR(VLOOKUP($A25,'1.2. Операторы (1С, КУ)'!$A:$G,4,0),"")</f>
        <v>27</v>
      </c>
      <c r="T25" s="136">
        <f>IFERROR(VLOOKUP($A25,'1.2. Операторы (1С, КУ)'!$A:$G,5,0),"")</f>
        <v>26</v>
      </c>
      <c r="U25" s="136">
        <f>IFERROR(VLOOKUP($A25,'1.2. Операторы (1С, КУ)'!$A:$G,7,0),"")</f>
        <v>12</v>
      </c>
      <c r="V25" s="91">
        <f t="shared" si="24"/>
        <v>25</v>
      </c>
      <c r="W25" s="136">
        <f>IFERROR(VLOOKUP($A25,'1.2. Операторы (1С, КУ)'!$A:$G,6,0),"")</f>
        <v>25</v>
      </c>
      <c r="Y25" s="136">
        <f>IFERROR(VLOOKUP($A25,'2. Техники (1С)'!$A:$E,4,0),"")</f>
        <v>3</v>
      </c>
      <c r="Z25" s="142">
        <f>IFERROR(VLOOKUP($A25,'2. Техники (1С)'!$A:$E,5,0),"")</f>
        <v>3</v>
      </c>
      <c r="AA25" s="119">
        <f>IFERROR(VLOOKUP($A25,'6. Простои (Вин)'!$A:$D,4,0),0)</f>
        <v>12</v>
      </c>
      <c r="AB25" s="119">
        <f>IFERROR(VLOOKUP($A25,'5. ТА без связи (Вин)'!$A:$D,4,0),)</f>
        <v>11</v>
      </c>
      <c r="AC25" s="119">
        <f>VLOOKUP($A25,'4. Кол-во ТА (1С)'!$A:$E,5,0)</f>
        <v>310</v>
      </c>
    </row>
    <row r="26" spans="1:29" x14ac:dyDescent="0.25">
      <c r="A26" s="33" t="str">
        <f t="shared" si="20"/>
        <v>Самара44806</v>
      </c>
      <c r="B26" s="51">
        <v>44806</v>
      </c>
      <c r="C26" s="32" t="s">
        <v>9</v>
      </c>
      <c r="D26" s="78">
        <f t="shared" si="21"/>
        <v>1.7721518987341773E-2</v>
      </c>
      <c r="E26" s="79">
        <f t="shared" si="15"/>
        <v>1.0126582278481013E-2</v>
      </c>
      <c r="F26" s="79" t="str">
        <f t="shared" si="16"/>
        <v/>
      </c>
      <c r="G26" s="79" t="str">
        <f t="shared" si="17"/>
        <v/>
      </c>
      <c r="H26" s="79">
        <f t="shared" si="18"/>
        <v>0.971830985915493</v>
      </c>
      <c r="I26" s="79">
        <f t="shared" si="25"/>
        <v>0.97222222222222221</v>
      </c>
      <c r="J26" s="79">
        <f t="shared" si="19"/>
        <v>0</v>
      </c>
      <c r="K26" s="80">
        <f t="shared" si="12"/>
        <v>0</v>
      </c>
      <c r="L26" s="133">
        <f>VLOOKUP($A26,'3. % потерянной выручки (1С)'!$A:$D,4,0)</f>
        <v>1E-3</v>
      </c>
      <c r="M26" s="139">
        <f>IFERROR(VLOOKUP($A26,'1.1. Операторы (1С, Все ТА)'!$A:$G,4,0),"")</f>
        <v>71</v>
      </c>
      <c r="N26" s="136">
        <f>IFERROR(VLOOKUP($A26,'1.1. Операторы (1С, Все ТА)'!$A:$G,5,0),"")</f>
        <v>69</v>
      </c>
      <c r="O26" s="136">
        <f>IFERROR(VLOOKUP($A26,'1.1. Операторы (1С, Все ТА)'!$A:$G,7,0),"")</f>
        <v>69</v>
      </c>
      <c r="P26" s="91">
        <f t="shared" si="23"/>
        <v>69</v>
      </c>
      <c r="Q26" s="136">
        <f>IFERROR(VLOOKUP($A26,'1.1. Операторы (1С, Все ТА)'!$A:$G,6,0),"")</f>
        <v>69</v>
      </c>
      <c r="S26" s="139">
        <f>IFERROR(VLOOKUP($A26,'1.2. Операторы (1С, КУ)'!$A:$G,4,0),"")</f>
        <v>36</v>
      </c>
      <c r="T26" s="136">
        <f>IFERROR(VLOOKUP($A26,'1.2. Операторы (1С, КУ)'!$A:$G,5,0),"")</f>
        <v>35</v>
      </c>
      <c r="U26" s="136">
        <f>IFERROR(VLOOKUP($A26,'1.2. Операторы (1С, КУ)'!$A:$G,7,0),"")</f>
        <v>35</v>
      </c>
      <c r="V26" s="91">
        <f t="shared" si="24"/>
        <v>35</v>
      </c>
      <c r="W26" s="136">
        <f>IFERROR(VLOOKUP($A26,'1.2. Операторы (1С, КУ)'!$A:$G,6,0),"")</f>
        <v>35</v>
      </c>
      <c r="Y26" s="136">
        <f>IFERROR(VLOOKUP($A26,'2. Техники (1С)'!$A:$E,4,0),"")</f>
        <v>1</v>
      </c>
      <c r="Z26" s="142" t="str">
        <f>IFERROR(VLOOKUP($A26,'2. Техники (1С)'!$A:$E,5,0),"")</f>
        <v/>
      </c>
      <c r="AA26" s="119">
        <f>IFERROR(VLOOKUP($A26,'6. Простои (Вин)'!$A:$D,4,0),0)</f>
        <v>4</v>
      </c>
      <c r="AB26" s="119">
        <f>IFERROR(VLOOKUP($A26,'5. ТА без связи (Вин)'!$A:$D,4,0),)</f>
        <v>7</v>
      </c>
      <c r="AC26" s="119">
        <f>VLOOKUP($A26,'4. Кол-во ТА (1С)'!$A:$E,5,0)</f>
        <v>395</v>
      </c>
    </row>
    <row r="27" spans="1:29" x14ac:dyDescent="0.25">
      <c r="A27" s="33" t="str">
        <f t="shared" si="20"/>
        <v>Саратов44806</v>
      </c>
      <c r="B27" s="51">
        <v>44806</v>
      </c>
      <c r="C27" s="32" t="s">
        <v>10</v>
      </c>
      <c r="D27" s="78">
        <f t="shared" si="21"/>
        <v>1.1661807580174927E-2</v>
      </c>
      <c r="E27" s="79">
        <f t="shared" si="15"/>
        <v>1.7492711370262391E-2</v>
      </c>
      <c r="F27" s="79" t="str">
        <f t="shared" si="16"/>
        <v/>
      </c>
      <c r="G27" s="79" t="str">
        <f t="shared" si="17"/>
        <v/>
      </c>
      <c r="H27" s="79">
        <f t="shared" si="18"/>
        <v>0.9375</v>
      </c>
      <c r="I27" s="79">
        <f t="shared" si="25"/>
        <v>1</v>
      </c>
      <c r="J27" s="79">
        <f t="shared" si="19"/>
        <v>0.11538461538461542</v>
      </c>
      <c r="K27" s="80">
        <f t="shared" si="12"/>
        <v>0.11538461538461542</v>
      </c>
      <c r="L27" s="133">
        <f>VLOOKUP($A27,'3. % потерянной выручки (1С)'!$A:$D,4,0)</f>
        <v>3.0000000000000001E-3</v>
      </c>
      <c r="M27" s="139">
        <f>IFERROR(VLOOKUP($A27,'1.1. Операторы (1С, Все ТА)'!$A:$G,4,0),"")</f>
        <v>64</v>
      </c>
      <c r="N27" s="136">
        <f>IFERROR(VLOOKUP($A27,'1.1. Операторы (1С, Все ТА)'!$A:$G,5,0),"")</f>
        <v>78</v>
      </c>
      <c r="O27" s="136">
        <f>IFERROR(VLOOKUP($A27,'1.1. Операторы (1С, Все ТА)'!$A:$G,7,0),"")</f>
        <v>60</v>
      </c>
      <c r="P27" s="91">
        <f t="shared" si="23"/>
        <v>69</v>
      </c>
      <c r="Q27" s="136">
        <f>IFERROR(VLOOKUP($A27,'1.1. Операторы (1С, Все ТА)'!$A:$G,6,0),"")</f>
        <v>69</v>
      </c>
      <c r="S27" s="139">
        <f>IFERROR(VLOOKUP($A27,'1.2. Операторы (1С, КУ)'!$A:$G,4,0),"")</f>
        <v>30</v>
      </c>
      <c r="T27" s="136">
        <f>IFERROR(VLOOKUP($A27,'1.2. Операторы (1С, КУ)'!$A:$G,5,0),"")</f>
        <v>39</v>
      </c>
      <c r="U27" s="136">
        <f>IFERROR(VLOOKUP($A27,'1.2. Операторы (1С, КУ)'!$A:$G,7,0),"")</f>
        <v>30</v>
      </c>
      <c r="V27" s="91">
        <f t="shared" si="24"/>
        <v>34</v>
      </c>
      <c r="W27" s="136">
        <f>IFERROR(VLOOKUP($A27,'1.2. Операторы (1С, КУ)'!$A:$G,6,0),"")</f>
        <v>34</v>
      </c>
      <c r="Y27" s="136" t="str">
        <f>IFERROR(VLOOKUP($A27,'2. Техники (1С)'!$A:$E,4,0),"")</f>
        <v/>
      </c>
      <c r="Z27" s="142">
        <f>IFERROR(VLOOKUP($A27,'2. Техники (1С)'!$A:$E,5,0),"")</f>
        <v>3</v>
      </c>
      <c r="AA27" s="119">
        <f>IFERROR(VLOOKUP($A27,'6. Простои (Вин)'!$A:$D,4,0),0)</f>
        <v>6</v>
      </c>
      <c r="AB27" s="119">
        <f>IFERROR(VLOOKUP($A27,'5. ТА без связи (Вин)'!$A:$D,4,0),)</f>
        <v>4</v>
      </c>
      <c r="AC27" s="119">
        <f>VLOOKUP($A27,'4. Кол-во ТА (1С)'!$A:$E,5,0)</f>
        <v>343</v>
      </c>
    </row>
    <row r="28" spans="1:29" x14ac:dyDescent="0.25">
      <c r="A28" s="33" t="str">
        <f t="shared" si="20"/>
        <v>Старый Оскол44806</v>
      </c>
      <c r="B28" s="51">
        <v>44806</v>
      </c>
      <c r="C28" s="32" t="s">
        <v>39</v>
      </c>
      <c r="D28" s="78">
        <f t="shared" si="21"/>
        <v>1.4705882352941176E-2</v>
      </c>
      <c r="E28" s="79">
        <f t="shared" si="15"/>
        <v>1.9607843137254902E-2</v>
      </c>
      <c r="F28" s="79" t="str">
        <f t="shared" si="16"/>
        <v/>
      </c>
      <c r="G28" s="79" t="str">
        <f t="shared" si="17"/>
        <v/>
      </c>
      <c r="H28" s="79">
        <f t="shared" si="18"/>
        <v>0.82758620689655171</v>
      </c>
      <c r="I28" s="79">
        <f t="shared" si="25"/>
        <v>1</v>
      </c>
      <c r="J28" s="79">
        <f t="shared" si="19"/>
        <v>3.5714285714285698E-2</v>
      </c>
      <c r="K28" s="80">
        <f t="shared" si="12"/>
        <v>3.5714285714285698E-2</v>
      </c>
      <c r="L28" s="133">
        <f>VLOOKUP($A28,'3. % потерянной выручки (1С)'!$A:$D,4,0)</f>
        <v>3.0000000000000001E-3</v>
      </c>
      <c r="M28" s="139">
        <f>IFERROR(VLOOKUP($A28,'1.1. Операторы (1С, Все ТА)'!$A:$G,4,0),"")</f>
        <v>29</v>
      </c>
      <c r="N28" s="136">
        <f>IFERROR(VLOOKUP($A28,'1.1. Операторы (1С, Все ТА)'!$A:$G,5,0),"")</f>
        <v>28</v>
      </c>
      <c r="O28" s="136">
        <f>IFERROR(VLOOKUP($A28,'1.1. Операторы (1С, Все ТА)'!$A:$G,7,0),"")</f>
        <v>24</v>
      </c>
      <c r="P28" s="91">
        <f t="shared" si="23"/>
        <v>27</v>
      </c>
      <c r="Q28" s="136">
        <f>IFERROR(VLOOKUP($A28,'1.1. Операторы (1С, Все ТА)'!$A:$G,6,0),"")</f>
        <v>27</v>
      </c>
      <c r="S28" s="139">
        <f>IFERROR(VLOOKUP($A28,'1.2. Операторы (1С, КУ)'!$A:$G,4,0),"")</f>
        <v>8</v>
      </c>
      <c r="T28" s="136">
        <f>IFERROR(VLOOKUP($A28,'1.2. Операторы (1С, КУ)'!$A:$G,5,0),"")</f>
        <v>9</v>
      </c>
      <c r="U28" s="136">
        <f>IFERROR(VLOOKUP($A28,'1.2. Операторы (1С, КУ)'!$A:$G,7,0),"")</f>
        <v>8</v>
      </c>
      <c r="V28" s="91">
        <f t="shared" si="24"/>
        <v>9</v>
      </c>
      <c r="W28" s="136">
        <f>IFERROR(VLOOKUP($A28,'1.2. Операторы (1С, КУ)'!$A:$G,6,0),"")</f>
        <v>9</v>
      </c>
      <c r="Y28" s="136" t="str">
        <f>IFERROR(VLOOKUP($A28,'2. Техники (1С)'!$A:$E,4,0),"")</f>
        <v/>
      </c>
      <c r="Z28" s="142">
        <f>IFERROR(VLOOKUP($A28,'2. Техники (1С)'!$A:$E,5,0),"")</f>
        <v>3</v>
      </c>
      <c r="AA28" s="119">
        <f>IFERROR(VLOOKUP($A28,'6. Простои (Вин)'!$A:$D,4,0),0)</f>
        <v>4</v>
      </c>
      <c r="AB28" s="119">
        <f>IFERROR(VLOOKUP($A28,'5. ТА без связи (Вин)'!$A:$D,4,0),)</f>
        <v>3</v>
      </c>
      <c r="AC28" s="119">
        <f>VLOOKUP($A28,'4. Кол-во ТА (1С)'!$A:$E,5,0)</f>
        <v>204</v>
      </c>
    </row>
    <row r="29" spans="1:29" x14ac:dyDescent="0.25">
      <c r="A29" s="33" t="str">
        <f t="shared" si="20"/>
        <v>Тольятти44806</v>
      </c>
      <c r="B29" s="51">
        <v>44806</v>
      </c>
      <c r="C29" s="32" t="s">
        <v>11</v>
      </c>
      <c r="D29" s="78">
        <f t="shared" si="21"/>
        <v>1.6483516483516484E-2</v>
      </c>
      <c r="E29" s="79">
        <f t="shared" si="15"/>
        <v>5.4945054945054949E-3</v>
      </c>
      <c r="F29" s="79" t="str">
        <f t="shared" si="16"/>
        <v/>
      </c>
      <c r="G29" s="79" t="str">
        <f t="shared" si="17"/>
        <v/>
      </c>
      <c r="H29" s="79">
        <f t="shared" si="18"/>
        <v>0.94736842105263153</v>
      </c>
      <c r="I29" s="79">
        <f t="shared" si="25"/>
        <v>1</v>
      </c>
      <c r="J29" s="79">
        <f t="shared" si="19"/>
        <v>0.25</v>
      </c>
      <c r="K29" s="80">
        <f t="shared" si="12"/>
        <v>0.25</v>
      </c>
      <c r="L29" s="133">
        <f>VLOOKUP($A29,'3. % потерянной выручки (1С)'!$A:$D,4,0)</f>
        <v>4.0000000000000001E-3</v>
      </c>
      <c r="M29" s="139">
        <f>IFERROR(VLOOKUP($A29,'1.1. Операторы (1С, Все ТА)'!$A:$G,4,0),"")</f>
        <v>19</v>
      </c>
      <c r="N29" s="136">
        <f>IFERROR(VLOOKUP($A29,'1.1. Операторы (1С, Все ТА)'!$A:$G,5,0),"")</f>
        <v>20</v>
      </c>
      <c r="O29" s="136">
        <f>IFERROR(VLOOKUP($A29,'1.1. Операторы (1С, Все ТА)'!$A:$G,7,0),"")</f>
        <v>18</v>
      </c>
      <c r="P29" s="91">
        <f t="shared" si="23"/>
        <v>15</v>
      </c>
      <c r="Q29" s="136">
        <f>IFERROR(VLOOKUP($A29,'1.1. Операторы (1С, Все ТА)'!$A:$G,6,0),"")</f>
        <v>15</v>
      </c>
      <c r="S29" s="139">
        <f>IFERROR(VLOOKUP($A29,'1.2. Операторы (1С, КУ)'!$A:$G,4,0),"")</f>
        <v>10</v>
      </c>
      <c r="T29" s="136">
        <f>IFERROR(VLOOKUP($A29,'1.2. Операторы (1С, КУ)'!$A:$G,5,0),"")</f>
        <v>10</v>
      </c>
      <c r="U29" s="136">
        <f>IFERROR(VLOOKUP($A29,'1.2. Операторы (1С, КУ)'!$A:$G,7,0),"")</f>
        <v>10</v>
      </c>
      <c r="V29" s="91">
        <f t="shared" si="24"/>
        <v>6</v>
      </c>
      <c r="W29" s="136">
        <f>IFERROR(VLOOKUP($A29,'1.2. Операторы (1С, КУ)'!$A:$G,6,0),"")</f>
        <v>6</v>
      </c>
      <c r="Y29" s="136" t="str">
        <f>IFERROR(VLOOKUP($A29,'2. Техники (1С)'!$A:$E,4,0),"")</f>
        <v/>
      </c>
      <c r="Z29" s="142" t="str">
        <f>IFERROR(VLOOKUP($A29,'2. Техники (1С)'!$A:$E,5,0),"")</f>
        <v/>
      </c>
      <c r="AA29" s="119">
        <f>IFERROR(VLOOKUP($A29,'6. Простои (Вин)'!$A:$D,4,0),0)</f>
        <v>1</v>
      </c>
      <c r="AB29" s="119">
        <f>IFERROR(VLOOKUP($A29,'5. ТА без связи (Вин)'!$A:$D,4,0),)</f>
        <v>3</v>
      </c>
      <c r="AC29" s="119">
        <f>VLOOKUP($A29,'4. Кол-во ТА (1С)'!$A:$E,5,0)</f>
        <v>182</v>
      </c>
    </row>
    <row r="30" spans="1:29" x14ac:dyDescent="0.25">
      <c r="A30" s="33" t="str">
        <f t="shared" si="20"/>
        <v>Тула44806</v>
      </c>
      <c r="B30" s="51">
        <v>44806</v>
      </c>
      <c r="C30" s="32" t="s">
        <v>12</v>
      </c>
      <c r="D30" s="78">
        <f t="shared" si="21"/>
        <v>5.4744525547445258E-2</v>
      </c>
      <c r="E30" s="79">
        <f t="shared" si="15"/>
        <v>3.6496350364963501E-2</v>
      </c>
      <c r="F30" s="79" t="str">
        <f t="shared" si="16"/>
        <v/>
      </c>
      <c r="G30" s="79" t="str">
        <f t="shared" si="17"/>
        <v/>
      </c>
      <c r="H30" s="79">
        <f t="shared" si="18"/>
        <v>0.7931034482758621</v>
      </c>
      <c r="I30" s="79">
        <f t="shared" si="25"/>
        <v>1</v>
      </c>
      <c r="J30" s="79">
        <f t="shared" si="19"/>
        <v>0</v>
      </c>
      <c r="K30" s="80">
        <f t="shared" si="12"/>
        <v>0</v>
      </c>
      <c r="L30" s="133">
        <f>VLOOKUP($A30,'3. % потерянной выручки (1С)'!$A:$D,4,0)</f>
        <v>3.0000000000000001E-3</v>
      </c>
      <c r="M30" s="139">
        <f>IFERROR(VLOOKUP($A30,'1.1. Операторы (1С, Все ТА)'!$A:$G,4,0),"")</f>
        <v>29</v>
      </c>
      <c r="N30" s="136">
        <f>IFERROR(VLOOKUP($A30,'1.1. Операторы (1С, Все ТА)'!$A:$G,5,0),"")</f>
        <v>27</v>
      </c>
      <c r="O30" s="136">
        <f>IFERROR(VLOOKUP($A30,'1.1. Операторы (1С, Все ТА)'!$A:$G,7,0),"")</f>
        <v>23</v>
      </c>
      <c r="P30" s="91">
        <f t="shared" si="23"/>
        <v>27</v>
      </c>
      <c r="Q30" s="136">
        <f>IFERROR(VLOOKUP($A30,'1.1. Операторы (1С, Все ТА)'!$A:$G,6,0),"")</f>
        <v>27</v>
      </c>
      <c r="S30" s="139">
        <f>IFERROR(VLOOKUP($A30,'1.2. Операторы (1С, КУ)'!$A:$G,4,0),"")</f>
        <v>6</v>
      </c>
      <c r="T30" s="136">
        <f>IFERROR(VLOOKUP($A30,'1.2. Операторы (1С, КУ)'!$A:$G,5,0),"")</f>
        <v>8</v>
      </c>
      <c r="U30" s="136">
        <f>IFERROR(VLOOKUP($A30,'1.2. Операторы (1С, КУ)'!$A:$G,7,0),"")</f>
        <v>6</v>
      </c>
      <c r="V30" s="91">
        <f t="shared" si="24"/>
        <v>8</v>
      </c>
      <c r="W30" s="136">
        <f>IFERROR(VLOOKUP($A30,'1.2. Операторы (1С, КУ)'!$A:$G,6,0),"")</f>
        <v>8</v>
      </c>
      <c r="Y30" s="136" t="str">
        <f>IFERROR(VLOOKUP($A30,'2. Техники (1С)'!$A:$E,4,0),"")</f>
        <v/>
      </c>
      <c r="Z30" s="142" t="str">
        <f>IFERROR(VLOOKUP($A30,'2. Техники (1С)'!$A:$E,5,0),"")</f>
        <v/>
      </c>
      <c r="AA30" s="119">
        <f>IFERROR(VLOOKUP($A30,'6. Простои (Вин)'!$A:$D,4,0),0)</f>
        <v>10</v>
      </c>
      <c r="AB30" s="119">
        <f>IFERROR(VLOOKUP($A30,'5. ТА без связи (Вин)'!$A:$D,4,0),)</f>
        <v>15</v>
      </c>
      <c r="AC30" s="119">
        <f>VLOOKUP($A30,'4. Кол-во ТА (1С)'!$A:$E,5,0)</f>
        <v>274</v>
      </c>
    </row>
    <row r="31" spans="1:29" x14ac:dyDescent="0.25">
      <c r="A31" s="33" t="str">
        <f t="shared" si="20"/>
        <v>Уфа44806</v>
      </c>
      <c r="B31" s="51">
        <v>44806</v>
      </c>
      <c r="C31" s="32" t="s">
        <v>13</v>
      </c>
      <c r="D31" s="78">
        <f t="shared" si="21"/>
        <v>1.7142857142857144E-2</v>
      </c>
      <c r="E31" s="79">
        <f t="shared" si="15"/>
        <v>2.8571428571428571E-2</v>
      </c>
      <c r="F31" s="79" t="str">
        <f t="shared" si="16"/>
        <v/>
      </c>
      <c r="G31" s="79" t="str">
        <f t="shared" si="17"/>
        <v/>
      </c>
      <c r="H31" s="79">
        <f t="shared" si="18"/>
        <v>1</v>
      </c>
      <c r="I31" s="79">
        <f t="shared" si="25"/>
        <v>1</v>
      </c>
      <c r="J31" s="79">
        <f t="shared" si="19"/>
        <v>0</v>
      </c>
      <c r="K31" s="80">
        <f t="shared" si="12"/>
        <v>0</v>
      </c>
      <c r="L31" s="133">
        <f>VLOOKUP($A31,'3. % потерянной выручки (1С)'!$A:$D,4,0)</f>
        <v>3.0000000000000001E-3</v>
      </c>
      <c r="M31" s="139">
        <f>IFERROR(VLOOKUP($A31,'1.1. Операторы (1С, Все ТА)'!$A:$G,4,0),"")</f>
        <v>67</v>
      </c>
      <c r="N31" s="136">
        <f>IFERROR(VLOOKUP($A31,'1.1. Операторы (1С, Все ТА)'!$A:$G,5,0),"")</f>
        <v>68</v>
      </c>
      <c r="O31" s="136">
        <f>IFERROR(VLOOKUP($A31,'1.1. Операторы (1С, Все ТА)'!$A:$G,7,0),"")</f>
        <v>67</v>
      </c>
      <c r="P31" s="91">
        <f t="shared" si="23"/>
        <v>68</v>
      </c>
      <c r="Q31" s="136">
        <f>IFERROR(VLOOKUP($A31,'1.1. Операторы (1С, Все ТА)'!$A:$G,6,0),"")</f>
        <v>68</v>
      </c>
      <c r="S31" s="139">
        <f>IFERROR(VLOOKUP($A31,'1.2. Операторы (1С, КУ)'!$A:$G,4,0),"")</f>
        <v>46</v>
      </c>
      <c r="T31" s="136">
        <f>IFERROR(VLOOKUP($A31,'1.2. Операторы (1С, КУ)'!$A:$G,5,0),"")</f>
        <v>47</v>
      </c>
      <c r="U31" s="136">
        <f>IFERROR(VLOOKUP($A31,'1.2. Операторы (1С, КУ)'!$A:$G,7,0),"")</f>
        <v>46</v>
      </c>
      <c r="V31" s="91">
        <f t="shared" si="24"/>
        <v>47</v>
      </c>
      <c r="W31" s="136">
        <f>IFERROR(VLOOKUP($A31,'1.2. Операторы (1С, КУ)'!$A:$G,6,0),"")</f>
        <v>47</v>
      </c>
      <c r="Y31" s="136">
        <f>IFERROR(VLOOKUP($A31,'2. Техники (1С)'!$A:$E,4,0),"")</f>
        <v>6</v>
      </c>
      <c r="Z31" s="142">
        <f>IFERROR(VLOOKUP($A31,'2. Техники (1С)'!$A:$E,5,0),"")</f>
        <v>8</v>
      </c>
      <c r="AA31" s="119">
        <f>IFERROR(VLOOKUP($A31,'6. Простои (Вин)'!$A:$D,4,0),0)</f>
        <v>10</v>
      </c>
      <c r="AB31" s="119">
        <f>IFERROR(VLOOKUP($A31,'5. ТА без связи (Вин)'!$A:$D,4,0),)</f>
        <v>6</v>
      </c>
      <c r="AC31" s="119">
        <f>VLOOKUP($A31,'4. Кол-во ТА (1С)'!$A:$E,5,0)</f>
        <v>350</v>
      </c>
    </row>
    <row r="32" spans="1:29" ht="15.75" thickBot="1" x14ac:dyDescent="0.3">
      <c r="A32" s="44" t="str">
        <f t="shared" si="20"/>
        <v>Ярославль44806</v>
      </c>
      <c r="B32" s="53">
        <v>44806</v>
      </c>
      <c r="C32" s="45" t="s">
        <v>14</v>
      </c>
      <c r="D32" s="81">
        <f t="shared" si="21"/>
        <v>2.1108179419525065E-2</v>
      </c>
      <c r="E32" s="82">
        <f t="shared" si="15"/>
        <v>3.430079155672823E-2</v>
      </c>
      <c r="F32" s="82" t="str">
        <f t="shared" si="16"/>
        <v/>
      </c>
      <c r="G32" s="82" t="str">
        <f t="shared" si="17"/>
        <v/>
      </c>
      <c r="H32" s="82">
        <f t="shared" si="18"/>
        <v>0.95454545454545459</v>
      </c>
      <c r="I32" s="82">
        <f t="shared" si="25"/>
        <v>0.91666666666666663</v>
      </c>
      <c r="J32" s="82">
        <f t="shared" si="19"/>
        <v>0</v>
      </c>
      <c r="K32" s="83">
        <f>IFERROR(1-Q32/N32,"")</f>
        <v>0</v>
      </c>
      <c r="L32" s="134">
        <f>VLOOKUP($A32,'3. % потерянной выручки (1С)'!$A:$D,4,0)</f>
        <v>4.0000000000000001E-3</v>
      </c>
      <c r="M32" s="140">
        <f>IFERROR(VLOOKUP($A32,'1.1. Операторы (1С, Все ТА)'!$A:$G,4,0),"")</f>
        <v>44</v>
      </c>
      <c r="N32" s="137">
        <f>IFERROR(VLOOKUP($A32,'1.1. Операторы (1С, Все ТА)'!$A:$G,5,0),"")</f>
        <v>65</v>
      </c>
      <c r="O32" s="137">
        <f>IFERROR(VLOOKUP($A32,'1.1. Операторы (1С, Все ТА)'!$A:$G,7,0),"")</f>
        <v>42</v>
      </c>
      <c r="P32" s="92">
        <f t="shared" si="23"/>
        <v>65</v>
      </c>
      <c r="Q32" s="137">
        <f>IFERROR(VLOOKUP($A32,'1.1. Операторы (1С, Все ТА)'!$A:$G,6,0),"")</f>
        <v>65</v>
      </c>
      <c r="R32" s="65"/>
      <c r="S32" s="140">
        <f>IFERROR(VLOOKUP($A32,'1.2. Операторы (1С, КУ)'!$A:$G,4,0),"")</f>
        <v>12</v>
      </c>
      <c r="T32" s="137">
        <f>IFERROR(VLOOKUP($A32,'1.2. Операторы (1С, КУ)'!$A:$G,5,0),"")</f>
        <v>14</v>
      </c>
      <c r="U32" s="137">
        <f>IFERROR(VLOOKUP($A32,'1.2. Операторы (1С, КУ)'!$A:$G,7,0),"")</f>
        <v>11</v>
      </c>
      <c r="V32" s="92">
        <f t="shared" si="24"/>
        <v>14</v>
      </c>
      <c r="W32" s="137">
        <f>IFERROR(VLOOKUP($A32,'1.2. Операторы (1С, КУ)'!$A:$G,6,0),"")</f>
        <v>14</v>
      </c>
      <c r="X32" s="65"/>
      <c r="Y32" s="137">
        <f>IFERROR(VLOOKUP($A32,'2. Техники (1С)'!$A:$E,4,0),"")</f>
        <v>5</v>
      </c>
      <c r="Z32" s="143">
        <f>IFERROR(VLOOKUP($A32,'2. Техники (1С)'!$A:$E,5,0),"")</f>
        <v>5</v>
      </c>
      <c r="AA32" s="120">
        <f>IFERROR(VLOOKUP($A32,'6. Простои (Вин)'!$A:$D,4,0),0)</f>
        <v>13</v>
      </c>
      <c r="AB32" s="120">
        <f>IFERROR(VLOOKUP($A32,'5. ТА без связи (Вин)'!$A:$D,4,0),)</f>
        <v>8</v>
      </c>
      <c r="AC32" s="120">
        <f>VLOOKUP($A32,'4. Кол-во ТА (1С)'!$A:$E,5,0)</f>
        <v>379</v>
      </c>
    </row>
    <row r="33" spans="1:29" ht="15.75" thickBot="1" x14ac:dyDescent="0.3">
      <c r="A33" s="49" t="str">
        <f t="shared" si="20"/>
        <v>ФС44806</v>
      </c>
      <c r="B33" s="54">
        <v>44806</v>
      </c>
      <c r="C33" s="46" t="s">
        <v>15</v>
      </c>
      <c r="D33" s="84">
        <f t="shared" si="21"/>
        <v>2.7351146644224701E-2</v>
      </c>
      <c r="E33" s="85">
        <f t="shared" si="15"/>
        <v>2.7140753208499895E-2</v>
      </c>
      <c r="F33" s="85" t="str">
        <f t="shared" si="16"/>
        <v/>
      </c>
      <c r="G33" s="85" t="str">
        <f t="shared" si="17"/>
        <v/>
      </c>
      <c r="H33" s="85">
        <f t="shared" si="18"/>
        <v>0.85575364667747167</v>
      </c>
      <c r="I33" s="85">
        <f>IFERROR(U33/S33,"")</f>
        <v>0.91319444444444442</v>
      </c>
      <c r="J33" s="86">
        <f t="shared" si="19"/>
        <v>5.3935860058309082E-2</v>
      </c>
      <c r="K33" s="87">
        <f t="shared" ref="K33:K45" si="26">IFERROR(1-Q33/N33,"")</f>
        <v>5.3935860058309082E-2</v>
      </c>
      <c r="L33" s="63">
        <f>VLOOKUP($A33,'3. % потерянной выручки (1С)'!$A:$D,4,0)</f>
        <v>3.0000000000000001E-3</v>
      </c>
      <c r="M33" s="93">
        <f>SUM(M19:M32)</f>
        <v>617</v>
      </c>
      <c r="N33" s="94">
        <f>SUM(N19:N32)</f>
        <v>686</v>
      </c>
      <c r="O33" s="94">
        <f>SUM(O19:O32)</f>
        <v>528</v>
      </c>
      <c r="P33" s="94">
        <f t="shared" ref="P33" si="27">Q33+R33</f>
        <v>649</v>
      </c>
      <c r="Q33" s="94">
        <f>SUM(Q19:Q32)</f>
        <v>649</v>
      </c>
      <c r="R33" s="66">
        <f>SUM(R19:R32)</f>
        <v>0</v>
      </c>
      <c r="S33" s="93">
        <f>SUM(S19:S32)</f>
        <v>288</v>
      </c>
      <c r="T33" s="94">
        <f>SUM(T19:T32)</f>
        <v>318</v>
      </c>
      <c r="U33" s="94">
        <f>SUM(U19:U32)</f>
        <v>263</v>
      </c>
      <c r="V33" s="94">
        <f>W33+X33</f>
        <v>298</v>
      </c>
      <c r="W33" s="94">
        <f t="shared" ref="W33:AC33" si="28">SUM(W19:W32)</f>
        <v>298</v>
      </c>
      <c r="X33" s="66">
        <f t="shared" si="28"/>
        <v>0</v>
      </c>
      <c r="Y33" s="94">
        <f t="shared" si="28"/>
        <v>24</v>
      </c>
      <c r="Z33" s="99">
        <f t="shared" si="28"/>
        <v>33</v>
      </c>
      <c r="AA33" s="97">
        <f t="shared" si="28"/>
        <v>129</v>
      </c>
      <c r="AB33" s="97">
        <f t="shared" si="28"/>
        <v>130</v>
      </c>
      <c r="AC33" s="97">
        <f t="shared" si="28"/>
        <v>4753</v>
      </c>
    </row>
    <row r="34" spans="1:29" ht="15.75" thickTop="1" x14ac:dyDescent="0.25">
      <c r="A34" s="33" t="str">
        <f t="shared" ref="A34:A47" si="29">CONCATENATE(C34,B34)</f>
        <v>Воронеж44809</v>
      </c>
      <c r="B34" s="51">
        <v>44809</v>
      </c>
      <c r="C34" s="32" t="s">
        <v>5</v>
      </c>
      <c r="D34" s="78">
        <f t="shared" ref="D34:D47" si="30">IFERROR(AB34/AC34,"")</f>
        <v>2.6666666666666668E-2</v>
      </c>
      <c r="E34" s="79">
        <f t="shared" ref="E34:E47" si="31">IFERROR(AA34/AC34,"")</f>
        <v>1.3333333333333334E-2</v>
      </c>
      <c r="F34" s="79" t="str">
        <f t="shared" ref="F34:F47" si="32">IFERROR(AG34/AD34,"")</f>
        <v/>
      </c>
      <c r="G34" s="79" t="str">
        <f t="shared" ref="G34:G47" si="33">IFERROR((AA34-AG34)/AD34,"")</f>
        <v/>
      </c>
      <c r="H34" s="79">
        <f t="shared" ref="H34:H47" si="34">IFERROR(O34/M34,"")</f>
        <v>1</v>
      </c>
      <c r="I34" s="79">
        <f t="shared" ref="I34:I36" si="35">IFERROR(U34/S34,"")</f>
        <v>1</v>
      </c>
      <c r="J34" s="79">
        <f t="shared" ref="J34:J47" si="36">IFERROR(1-P34/N34,"")</f>
        <v>0.22222222222222221</v>
      </c>
      <c r="K34" s="80">
        <f t="shared" si="26"/>
        <v>0.22222222222222221</v>
      </c>
      <c r="L34" s="133">
        <f>VLOOKUP($A34,'3. % потерянной выручки (1С)'!$A:$D,4,0)</f>
        <v>6.0000000000000001E-3</v>
      </c>
      <c r="M34" s="139">
        <f>IFERROR(VLOOKUP($A34,'1.1. Операторы (1С, Все ТА)'!$A:$G,4,0),"")</f>
        <v>54</v>
      </c>
      <c r="N34" s="136">
        <f>IFERROR(VLOOKUP($A34,'1.1. Операторы (1С, Все ТА)'!$A:$G,5,0),"")</f>
        <v>54</v>
      </c>
      <c r="O34" s="136">
        <f>IFERROR(VLOOKUP($A34,'1.1. Операторы (1С, Все ТА)'!$A:$G,7,0),"")</f>
        <v>54</v>
      </c>
      <c r="P34" s="91">
        <f t="shared" ref="P34:P46" si="37">IFERROR(Q34+R34,"")</f>
        <v>42</v>
      </c>
      <c r="Q34" s="136">
        <f>IFERROR(VLOOKUP($A34,'1.1. Операторы (1С, Все ТА)'!$A:$G,6,0),"")</f>
        <v>42</v>
      </c>
      <c r="S34" s="139">
        <f>IFERROR(VLOOKUP($A34,'1.2. Операторы (1С, КУ)'!$A:$G,4,0),"")</f>
        <v>25</v>
      </c>
      <c r="T34" s="136">
        <f>IFERROR(VLOOKUP($A34,'1.2. Операторы (1С, КУ)'!$A:$G,5,0),"")</f>
        <v>25</v>
      </c>
      <c r="U34" s="136">
        <f>IFERROR(VLOOKUP($A34,'1.2. Операторы (1С, КУ)'!$A:$G,7,0),"")</f>
        <v>25</v>
      </c>
      <c r="V34" s="91">
        <f t="shared" ref="V34:V46" si="38">IFERROR(W34+X34,"")</f>
        <v>15</v>
      </c>
      <c r="W34" s="136">
        <f>IFERROR(VLOOKUP($A34,'1.2. Операторы (1С, КУ)'!$A:$G,6,0),"")</f>
        <v>15</v>
      </c>
      <c r="Y34" s="136">
        <f>IFERROR(VLOOKUP($A34,'2. Техники (1С)'!$A:$E,4,0),"")</f>
        <v>4</v>
      </c>
      <c r="Z34" s="142">
        <f>IFERROR(VLOOKUP($A34,'2. Техники (1С)'!$A:$E,5,0),"")</f>
        <v>1</v>
      </c>
      <c r="AA34" s="119">
        <f>IFERROR(VLOOKUP($A34,'6. Простои (Вин)'!$A:$D,4,0),0)</f>
        <v>5</v>
      </c>
      <c r="AB34" s="119">
        <f>IFERROR(VLOOKUP($A34,'5. ТА без связи (Вин)'!$A:$D,4,0),)</f>
        <v>10</v>
      </c>
      <c r="AC34" s="119">
        <f>VLOOKUP($A34,'4. Кол-во ТА (1С)'!$A:$E,5,0)</f>
        <v>375</v>
      </c>
    </row>
    <row r="35" spans="1:29" x14ac:dyDescent="0.25">
      <c r="A35" s="33" t="str">
        <f t="shared" si="29"/>
        <v>Калининград44809</v>
      </c>
      <c r="B35" s="51">
        <v>44809</v>
      </c>
      <c r="C35" s="32" t="s">
        <v>6</v>
      </c>
      <c r="D35" s="78">
        <f t="shared" si="30"/>
        <v>1.935483870967742E-2</v>
      </c>
      <c r="E35" s="79">
        <f t="shared" si="31"/>
        <v>1.935483870967742E-2</v>
      </c>
      <c r="F35" s="79" t="str">
        <f t="shared" si="32"/>
        <v/>
      </c>
      <c r="G35" s="79" t="str">
        <f t="shared" si="33"/>
        <v/>
      </c>
      <c r="H35" s="79">
        <f t="shared" si="34"/>
        <v>0.4609375</v>
      </c>
      <c r="I35" s="79">
        <f t="shared" si="35"/>
        <v>0.62</v>
      </c>
      <c r="J35" s="79">
        <f t="shared" si="36"/>
        <v>0.12987012987012991</v>
      </c>
      <c r="K35" s="80">
        <f t="shared" si="26"/>
        <v>0.12987012987012991</v>
      </c>
      <c r="L35" s="133">
        <f>VLOOKUP($A35,'3. % потерянной выручки (1С)'!$A:$D,4,0)</f>
        <v>6.0000000000000001E-3</v>
      </c>
      <c r="M35" s="139">
        <f>IFERROR(VLOOKUP($A35,'1.1. Операторы (1С, Все ТА)'!$A:$G,4,0),"")</f>
        <v>128</v>
      </c>
      <c r="N35" s="136">
        <f>IFERROR(VLOOKUP($A35,'1.1. Операторы (1С, Все ТА)'!$A:$G,5,0),"")</f>
        <v>154</v>
      </c>
      <c r="O35" s="136">
        <f>IFERROR(VLOOKUP($A35,'1.1. Операторы (1С, Все ТА)'!$A:$G,7,0),"")</f>
        <v>59</v>
      </c>
      <c r="P35" s="91">
        <f t="shared" si="37"/>
        <v>134</v>
      </c>
      <c r="Q35" s="136">
        <f>IFERROR(VLOOKUP($A35,'1.1. Операторы (1С, Все ТА)'!$A:$G,6,0),"")</f>
        <v>134</v>
      </c>
      <c r="S35" s="139">
        <f>IFERROR(VLOOKUP($A35,'1.2. Операторы (1С, КУ)'!$A:$G,4,0),"")</f>
        <v>50</v>
      </c>
      <c r="T35" s="136">
        <f>IFERROR(VLOOKUP($A35,'1.2. Операторы (1С, КУ)'!$A:$G,5,0),"")</f>
        <v>65</v>
      </c>
      <c r="U35" s="136">
        <f>IFERROR(VLOOKUP($A35,'1.2. Операторы (1С, КУ)'!$A:$G,7,0),"")</f>
        <v>31</v>
      </c>
      <c r="V35" s="91">
        <f t="shared" si="38"/>
        <v>53</v>
      </c>
      <c r="W35" s="136">
        <f>IFERROR(VLOOKUP($A35,'1.2. Операторы (1С, КУ)'!$A:$G,6,0),"")</f>
        <v>53</v>
      </c>
      <c r="Y35" s="136">
        <f>IFERROR(VLOOKUP($A35,'2. Техники (1С)'!$A:$E,4,0),"")</f>
        <v>10</v>
      </c>
      <c r="Z35" s="142">
        <f>IFERROR(VLOOKUP($A35,'2. Техники (1С)'!$A:$E,5,0),"")</f>
        <v>9</v>
      </c>
      <c r="AA35" s="119">
        <f>IFERROR(VLOOKUP($A35,'6. Простои (Вин)'!$A:$D,4,0),0)</f>
        <v>12</v>
      </c>
      <c r="AB35" s="119">
        <f>IFERROR(VLOOKUP($A35,'5. ТА без связи (Вин)'!$A:$D,4,0),)</f>
        <v>12</v>
      </c>
      <c r="AC35" s="119">
        <f>VLOOKUP($A35,'4. Кол-во ТА (1С)'!$A:$E,5,0)</f>
        <v>620</v>
      </c>
    </row>
    <row r="36" spans="1:29" x14ac:dyDescent="0.25">
      <c r="A36" s="33" t="str">
        <f t="shared" si="29"/>
        <v>Липецк44809</v>
      </c>
      <c r="B36" s="51">
        <v>44809</v>
      </c>
      <c r="C36" s="32" t="s">
        <v>7</v>
      </c>
      <c r="D36" s="78">
        <f t="shared" si="30"/>
        <v>1.9830028328611898E-2</v>
      </c>
      <c r="E36" s="79">
        <f t="shared" si="31"/>
        <v>2.8328611898016998E-2</v>
      </c>
      <c r="F36" s="79" t="str">
        <f t="shared" si="32"/>
        <v/>
      </c>
      <c r="G36" s="79" t="str">
        <f t="shared" si="33"/>
        <v/>
      </c>
      <c r="H36" s="79">
        <f t="shared" si="34"/>
        <v>0.9452054794520548</v>
      </c>
      <c r="I36" s="79">
        <f t="shared" si="35"/>
        <v>0.92682926829268297</v>
      </c>
      <c r="J36" s="79">
        <f t="shared" si="36"/>
        <v>0</v>
      </c>
      <c r="K36" s="80">
        <f t="shared" si="26"/>
        <v>0</v>
      </c>
      <c r="L36" s="133">
        <f>VLOOKUP($A36,'3. % потерянной выручки (1С)'!$A:$D,4,0)</f>
        <v>8.0000000000000002E-3</v>
      </c>
      <c r="M36" s="139">
        <f>IFERROR(VLOOKUP($A36,'1.1. Операторы (1С, Все ТА)'!$A:$G,4,0),"")</f>
        <v>73</v>
      </c>
      <c r="N36" s="136">
        <f>IFERROR(VLOOKUP($A36,'1.1. Операторы (1С, Все ТА)'!$A:$G,5,0),"")</f>
        <v>85</v>
      </c>
      <c r="O36" s="136">
        <f>IFERROR(VLOOKUP($A36,'1.1. Операторы (1С, Все ТА)'!$A:$G,7,0),"")</f>
        <v>69</v>
      </c>
      <c r="P36" s="91">
        <f t="shared" si="37"/>
        <v>85</v>
      </c>
      <c r="Q36" s="136">
        <f>IFERROR(VLOOKUP($A36,'1.1. Операторы (1С, Все ТА)'!$A:$G,6,0),"")</f>
        <v>85</v>
      </c>
      <c r="S36" s="139">
        <f>IFERROR(VLOOKUP($A36,'1.2. Операторы (1С, КУ)'!$A:$G,4,0),"")</f>
        <v>41</v>
      </c>
      <c r="T36" s="136">
        <f>IFERROR(VLOOKUP($A36,'1.2. Операторы (1С, КУ)'!$A:$G,5,0),"")</f>
        <v>44</v>
      </c>
      <c r="U36" s="136">
        <f>IFERROR(VLOOKUP($A36,'1.2. Операторы (1С, КУ)'!$A:$G,7,0),"")</f>
        <v>38</v>
      </c>
      <c r="V36" s="91">
        <f t="shared" si="38"/>
        <v>44</v>
      </c>
      <c r="W36" s="136">
        <f>IFERROR(VLOOKUP($A36,'1.2. Операторы (1С, КУ)'!$A:$G,6,0),"")</f>
        <v>44</v>
      </c>
      <c r="Y36" s="136" t="str">
        <f>IFERROR(VLOOKUP($A36,'2. Техники (1С)'!$A:$E,4,0),"")</f>
        <v/>
      </c>
      <c r="Z36" s="142">
        <f>IFERROR(VLOOKUP($A36,'2. Техники (1С)'!$A:$E,5,0),"")</f>
        <v>4</v>
      </c>
      <c r="AA36" s="119">
        <f>IFERROR(VLOOKUP($A36,'6. Простои (Вин)'!$A:$D,4,0),0)</f>
        <v>10</v>
      </c>
      <c r="AB36" s="119">
        <f>IFERROR(VLOOKUP($A36,'5. ТА без связи (Вин)'!$A:$D,4,0),)</f>
        <v>7</v>
      </c>
      <c r="AC36" s="119">
        <f>VLOOKUP($A36,'4. Кол-во ТА (1С)'!$A:$E,5,0)</f>
        <v>353</v>
      </c>
    </row>
    <row r="37" spans="1:29" x14ac:dyDescent="0.25">
      <c r="A37" s="33" t="str">
        <f t="shared" si="29"/>
        <v>Москва44809</v>
      </c>
      <c r="B37" s="51">
        <v>44809</v>
      </c>
      <c r="C37" s="32" t="s">
        <v>8</v>
      </c>
      <c r="D37" s="78">
        <f t="shared" si="30"/>
        <v>2.8282828282828285E-2</v>
      </c>
      <c r="E37" s="79">
        <f t="shared" si="31"/>
        <v>1.2121212121212121E-2</v>
      </c>
      <c r="F37" s="79" t="str">
        <f t="shared" si="32"/>
        <v/>
      </c>
      <c r="G37" s="79" t="str">
        <f t="shared" si="33"/>
        <v/>
      </c>
      <c r="H37" s="79">
        <f t="shared" si="34"/>
        <v>0.5</v>
      </c>
      <c r="I37" s="79">
        <f>IFERROR(U37/S37,"")</f>
        <v>0.5</v>
      </c>
      <c r="J37" s="79">
        <f t="shared" si="36"/>
        <v>5.8823529411764719E-2</v>
      </c>
      <c r="K37" s="80">
        <f t="shared" si="26"/>
        <v>5.8823529411764719E-2</v>
      </c>
      <c r="L37" s="133">
        <f>VLOOKUP($A37,'3. % потерянной выручки (1С)'!$A:$D,4,0)</f>
        <v>8.0000000000000002E-3</v>
      </c>
      <c r="M37" s="139">
        <f>IFERROR(VLOOKUP($A37,'1.1. Операторы (1С, Все ТА)'!$A:$G,4,0),"")</f>
        <v>92</v>
      </c>
      <c r="N37" s="136">
        <f>IFERROR(VLOOKUP($A37,'1.1. Операторы (1С, Все ТА)'!$A:$G,5,0),"")</f>
        <v>51</v>
      </c>
      <c r="O37" s="136">
        <f>IFERROR(VLOOKUP($A37,'1.1. Операторы (1С, Все ТА)'!$A:$G,7,0),"")</f>
        <v>46</v>
      </c>
      <c r="P37" s="91">
        <f t="shared" si="37"/>
        <v>48</v>
      </c>
      <c r="Q37" s="136">
        <f>IFERROR(VLOOKUP($A37,'1.1. Операторы (1С, Все ТА)'!$A:$G,6,0),"")</f>
        <v>48</v>
      </c>
      <c r="S37" s="139">
        <f>IFERROR(VLOOKUP($A37,'1.2. Операторы (1С, КУ)'!$A:$G,4,0),"")</f>
        <v>18</v>
      </c>
      <c r="T37" s="136">
        <f>IFERROR(VLOOKUP($A37,'1.2. Операторы (1С, КУ)'!$A:$G,5,0),"")</f>
        <v>9</v>
      </c>
      <c r="U37" s="136">
        <f>IFERROR(VLOOKUP($A37,'1.2. Операторы (1С, КУ)'!$A:$G,7,0),"")</f>
        <v>9</v>
      </c>
      <c r="V37" s="91">
        <f t="shared" si="38"/>
        <v>9</v>
      </c>
      <c r="W37" s="136">
        <f>IFERROR(VLOOKUP($A37,'1.2. Операторы (1С, КУ)'!$A:$G,6,0),"")</f>
        <v>9</v>
      </c>
      <c r="Y37" s="136" t="str">
        <f>IFERROR(VLOOKUP($A37,'2. Техники (1С)'!$A:$E,4,0),"")</f>
        <v/>
      </c>
      <c r="Z37" s="142" t="str">
        <f>IFERROR(VLOOKUP($A37,'2. Техники (1С)'!$A:$E,5,0),"")</f>
        <v/>
      </c>
      <c r="AA37" s="119">
        <f>IFERROR(VLOOKUP($A37,'6. Простои (Вин)'!$A:$D,4,0),0)</f>
        <v>6</v>
      </c>
      <c r="AB37" s="119">
        <f>IFERROR(VLOOKUP($A37,'5. ТА без связи (Вин)'!$A:$D,4,0),)</f>
        <v>14</v>
      </c>
      <c r="AC37" s="119">
        <f>VLOOKUP($A37,'4. Кол-во ТА (1С)'!$A:$E,5,0)</f>
        <v>495</v>
      </c>
    </row>
    <row r="38" spans="1:29" x14ac:dyDescent="0.25">
      <c r="A38" s="33" t="str">
        <f t="shared" si="29"/>
        <v>Наб.Челны44809</v>
      </c>
      <c r="B38" s="51">
        <v>44809</v>
      </c>
      <c r="C38" s="32" t="s">
        <v>37</v>
      </c>
      <c r="D38" s="78">
        <f t="shared" si="30"/>
        <v>7.9681274900398405E-3</v>
      </c>
      <c r="E38" s="79">
        <f t="shared" si="31"/>
        <v>7.9681274900398405E-3</v>
      </c>
      <c r="F38" s="79" t="str">
        <f t="shared" si="32"/>
        <v/>
      </c>
      <c r="G38" s="79" t="str">
        <f t="shared" si="33"/>
        <v/>
      </c>
      <c r="H38" s="79">
        <f t="shared" si="34"/>
        <v>0.8928571428571429</v>
      </c>
      <c r="I38" s="79">
        <f t="shared" ref="I38:I46" si="39">IFERROR(U38/S38,"")</f>
        <v>1</v>
      </c>
      <c r="J38" s="79">
        <f t="shared" si="36"/>
        <v>0</v>
      </c>
      <c r="K38" s="80">
        <f t="shared" si="26"/>
        <v>0</v>
      </c>
      <c r="L38" s="133">
        <f>VLOOKUP($A38,'3. % потерянной выручки (1С)'!$A:$D,4,0)</f>
        <v>5.0000000000000001E-3</v>
      </c>
      <c r="M38" s="139">
        <f>IFERROR(VLOOKUP($A38,'1.1. Операторы (1С, Все ТА)'!$A:$G,4,0),"")</f>
        <v>84</v>
      </c>
      <c r="N38" s="136">
        <f>IFERROR(VLOOKUP($A38,'1.1. Операторы (1С, Все ТА)'!$A:$G,5,0),"")</f>
        <v>75</v>
      </c>
      <c r="O38" s="136">
        <f>IFERROR(VLOOKUP($A38,'1.1. Операторы (1С, Все ТА)'!$A:$G,7,0),"")</f>
        <v>75</v>
      </c>
      <c r="P38" s="91">
        <f t="shared" si="37"/>
        <v>75</v>
      </c>
      <c r="Q38" s="136">
        <f>IFERROR(VLOOKUP($A38,'1.1. Операторы (1С, Все ТА)'!$A:$G,6,0),"")</f>
        <v>75</v>
      </c>
      <c r="S38" s="139">
        <f>IFERROR(VLOOKUP($A38,'1.2. Операторы (1С, КУ)'!$A:$G,4,0),"")</f>
        <v>43</v>
      </c>
      <c r="T38" s="136">
        <f>IFERROR(VLOOKUP($A38,'1.2. Операторы (1С, КУ)'!$A:$G,5,0),"")</f>
        <v>43</v>
      </c>
      <c r="U38" s="136">
        <f>IFERROR(VLOOKUP($A38,'1.2. Операторы (1С, КУ)'!$A:$G,7,0),"")</f>
        <v>43</v>
      </c>
      <c r="V38" s="91">
        <f t="shared" si="38"/>
        <v>43</v>
      </c>
      <c r="W38" s="136">
        <f>IFERROR(VLOOKUP($A38,'1.2. Операторы (1С, КУ)'!$A:$G,6,0),"")</f>
        <v>43</v>
      </c>
      <c r="Y38" s="136" t="str">
        <f>IFERROR(VLOOKUP($A38,'2. Техники (1С)'!$A:$E,4,0),"")</f>
        <v/>
      </c>
      <c r="Z38" s="142">
        <f>IFERROR(VLOOKUP($A38,'2. Техники (1С)'!$A:$E,5,0),"")</f>
        <v>2</v>
      </c>
      <c r="AA38" s="119">
        <f>IFERROR(VLOOKUP($A38,'6. Простои (Вин)'!$A:$D,4,0),0)</f>
        <v>2</v>
      </c>
      <c r="AB38" s="119">
        <f>IFERROR(VLOOKUP($A38,'5. ТА без связи (Вин)'!$A:$D,4,0),)</f>
        <v>2</v>
      </c>
      <c r="AC38" s="119">
        <f>VLOOKUP($A38,'4. Кол-во ТА (1С)'!$A:$E,5,0)</f>
        <v>251</v>
      </c>
    </row>
    <row r="39" spans="1:29" x14ac:dyDescent="0.25">
      <c r="A39" s="33" t="str">
        <f t="shared" si="29"/>
        <v>Нижний Новгород44809</v>
      </c>
      <c r="B39" s="51">
        <v>44809</v>
      </c>
      <c r="C39" s="32" t="s">
        <v>38</v>
      </c>
      <c r="D39" s="78">
        <f t="shared" si="30"/>
        <v>3.5369774919614148E-2</v>
      </c>
      <c r="E39" s="79">
        <f t="shared" si="31"/>
        <v>2.5723472668810289E-2</v>
      </c>
      <c r="F39" s="79" t="str">
        <f t="shared" si="32"/>
        <v/>
      </c>
      <c r="G39" s="79" t="str">
        <f t="shared" si="33"/>
        <v/>
      </c>
      <c r="H39" s="79">
        <f t="shared" si="34"/>
        <v>0.84210526315789469</v>
      </c>
      <c r="I39" s="79">
        <f t="shared" si="39"/>
        <v>0.9</v>
      </c>
      <c r="J39" s="79">
        <f t="shared" si="36"/>
        <v>6.0606060606060552E-2</v>
      </c>
      <c r="K39" s="80">
        <f t="shared" si="26"/>
        <v>6.0606060606060552E-2</v>
      </c>
      <c r="L39" s="133">
        <f>VLOOKUP($A39,'3. % потерянной выручки (1С)'!$A:$D,4,0)</f>
        <v>8.0000000000000002E-3</v>
      </c>
      <c r="M39" s="139">
        <f>IFERROR(VLOOKUP($A39,'1.1. Операторы (1С, Все ТА)'!$A:$G,4,0),"")</f>
        <v>76</v>
      </c>
      <c r="N39" s="136">
        <f>IFERROR(VLOOKUP($A39,'1.1. Операторы (1С, Все ТА)'!$A:$G,5,0),"")</f>
        <v>66</v>
      </c>
      <c r="O39" s="136">
        <f>IFERROR(VLOOKUP($A39,'1.1. Операторы (1С, Все ТА)'!$A:$G,7,0),"")</f>
        <v>64</v>
      </c>
      <c r="P39" s="91">
        <f t="shared" si="37"/>
        <v>62</v>
      </c>
      <c r="Q39" s="136">
        <f>IFERROR(VLOOKUP($A39,'1.1. Операторы (1С, Все ТА)'!$A:$G,6,0),"")</f>
        <v>62</v>
      </c>
      <c r="S39" s="139">
        <f>IFERROR(VLOOKUP($A39,'1.2. Операторы (1С, КУ)'!$A:$G,4,0),"")</f>
        <v>30</v>
      </c>
      <c r="T39" s="136">
        <f>IFERROR(VLOOKUP($A39,'1.2. Операторы (1С, КУ)'!$A:$G,5,0),"")</f>
        <v>27</v>
      </c>
      <c r="U39" s="136">
        <f>IFERROR(VLOOKUP($A39,'1.2. Операторы (1С, КУ)'!$A:$G,7,0),"")</f>
        <v>27</v>
      </c>
      <c r="V39" s="91">
        <f t="shared" si="38"/>
        <v>24</v>
      </c>
      <c r="W39" s="136">
        <f>IFERROR(VLOOKUP($A39,'1.2. Операторы (1С, КУ)'!$A:$G,6,0),"")</f>
        <v>24</v>
      </c>
      <c r="Y39" s="136">
        <f>IFERROR(VLOOKUP($A39,'2. Техники (1С)'!$A:$E,4,0),"")</f>
        <v>1</v>
      </c>
      <c r="Z39" s="142">
        <f>IFERROR(VLOOKUP($A39,'2. Техники (1С)'!$A:$E,5,0),"")</f>
        <v>2</v>
      </c>
      <c r="AA39" s="119">
        <f>IFERROR(VLOOKUP($A39,'6. Простои (Вин)'!$A:$D,4,0),0)</f>
        <v>8</v>
      </c>
      <c r="AB39" s="119">
        <f>IFERROR(VLOOKUP($A39,'5. ТА без связи (Вин)'!$A:$D,4,0),)</f>
        <v>11</v>
      </c>
      <c r="AC39" s="119">
        <f>VLOOKUP($A39,'4. Кол-во ТА (1С)'!$A:$E,5,0)</f>
        <v>311</v>
      </c>
    </row>
    <row r="40" spans="1:29" x14ac:dyDescent="0.25">
      <c r="A40" s="33" t="str">
        <f t="shared" si="29"/>
        <v>Самара44809</v>
      </c>
      <c r="B40" s="51">
        <v>44809</v>
      </c>
      <c r="C40" s="32" t="s">
        <v>9</v>
      </c>
      <c r="D40" s="78">
        <f t="shared" si="30"/>
        <v>1.7766497461928935E-2</v>
      </c>
      <c r="E40" s="79">
        <f t="shared" si="31"/>
        <v>5.076142131979695E-3</v>
      </c>
      <c r="F40" s="79" t="str">
        <f t="shared" si="32"/>
        <v/>
      </c>
      <c r="G40" s="79" t="str">
        <f t="shared" si="33"/>
        <v/>
      </c>
      <c r="H40" s="79">
        <f t="shared" si="34"/>
        <v>0.93877551020408168</v>
      </c>
      <c r="I40" s="79">
        <f t="shared" si="39"/>
        <v>0.98039215686274506</v>
      </c>
      <c r="J40" s="79">
        <f t="shared" si="36"/>
        <v>0</v>
      </c>
      <c r="K40" s="80">
        <f t="shared" si="26"/>
        <v>0</v>
      </c>
      <c r="L40" s="133">
        <f>VLOOKUP($A40,'3. % потерянной выручки (1С)'!$A:$D,4,0)</f>
        <v>6.9999999999999993E-3</v>
      </c>
      <c r="M40" s="139">
        <f>IFERROR(VLOOKUP($A40,'1.1. Операторы (1С, Все ТА)'!$A:$G,4,0),"")</f>
        <v>98</v>
      </c>
      <c r="N40" s="136">
        <f>IFERROR(VLOOKUP($A40,'1.1. Операторы (1С, Все ТА)'!$A:$G,5,0),"")</f>
        <v>92</v>
      </c>
      <c r="O40" s="136">
        <f>IFERROR(VLOOKUP($A40,'1.1. Операторы (1С, Все ТА)'!$A:$G,7,0),"")</f>
        <v>92</v>
      </c>
      <c r="P40" s="91">
        <f t="shared" si="37"/>
        <v>92</v>
      </c>
      <c r="Q40" s="136">
        <f>IFERROR(VLOOKUP($A40,'1.1. Операторы (1С, Все ТА)'!$A:$G,6,0),"")</f>
        <v>92</v>
      </c>
      <c r="S40" s="139">
        <f>IFERROR(VLOOKUP($A40,'1.2. Операторы (1С, КУ)'!$A:$G,4,0),"")</f>
        <v>51</v>
      </c>
      <c r="T40" s="136">
        <f>IFERROR(VLOOKUP($A40,'1.2. Операторы (1С, КУ)'!$A:$G,5,0),"")</f>
        <v>50</v>
      </c>
      <c r="U40" s="136">
        <f>IFERROR(VLOOKUP($A40,'1.2. Операторы (1С, КУ)'!$A:$G,7,0),"")</f>
        <v>50</v>
      </c>
      <c r="V40" s="91">
        <f t="shared" si="38"/>
        <v>50</v>
      </c>
      <c r="W40" s="136">
        <f>IFERROR(VLOOKUP($A40,'1.2. Операторы (1С, КУ)'!$A:$G,6,0),"")</f>
        <v>50</v>
      </c>
      <c r="Y40" s="136">
        <f>IFERROR(VLOOKUP($A40,'2. Техники (1С)'!$A:$E,4,0),"")</f>
        <v>2</v>
      </c>
      <c r="Z40" s="142">
        <f>IFERROR(VLOOKUP($A40,'2. Техники (1С)'!$A:$E,5,0),"")</f>
        <v>4</v>
      </c>
      <c r="AA40" s="119">
        <f>IFERROR(VLOOKUP($A40,'6. Простои (Вин)'!$A:$D,4,0),0)</f>
        <v>2</v>
      </c>
      <c r="AB40" s="119">
        <f>IFERROR(VLOOKUP($A40,'5. ТА без связи (Вин)'!$A:$D,4,0),)</f>
        <v>7</v>
      </c>
      <c r="AC40" s="119">
        <f>VLOOKUP($A40,'4. Кол-во ТА (1С)'!$A:$E,5,0)</f>
        <v>394</v>
      </c>
    </row>
    <row r="41" spans="1:29" x14ac:dyDescent="0.25">
      <c r="A41" s="33" t="str">
        <f t="shared" si="29"/>
        <v>Саратов44809</v>
      </c>
      <c r="B41" s="51">
        <v>44809</v>
      </c>
      <c r="C41" s="32" t="s">
        <v>10</v>
      </c>
      <c r="D41" s="78">
        <f t="shared" si="30"/>
        <v>1.4005602240896359E-2</v>
      </c>
      <c r="E41" s="79">
        <f t="shared" si="31"/>
        <v>5.6022408963585435E-3</v>
      </c>
      <c r="F41" s="79" t="str">
        <f t="shared" si="32"/>
        <v/>
      </c>
      <c r="G41" s="79" t="str">
        <f t="shared" si="33"/>
        <v/>
      </c>
      <c r="H41" s="79">
        <f t="shared" si="34"/>
        <v>0.78787878787878785</v>
      </c>
      <c r="I41" s="79">
        <f t="shared" si="39"/>
        <v>0.81818181818181823</v>
      </c>
      <c r="J41" s="79">
        <f t="shared" si="36"/>
        <v>9.0909090909090939E-2</v>
      </c>
      <c r="K41" s="80">
        <f t="shared" si="26"/>
        <v>9.0909090909090939E-2</v>
      </c>
      <c r="L41" s="133">
        <f>VLOOKUP($A41,'3. % потерянной выручки (1С)'!$A:$D,4,0)</f>
        <v>6.9999999999999993E-3</v>
      </c>
      <c r="M41" s="139">
        <f>IFERROR(VLOOKUP($A41,'1.1. Операторы (1С, Все ТА)'!$A:$G,4,0),"")</f>
        <v>66</v>
      </c>
      <c r="N41" s="136">
        <f>IFERROR(VLOOKUP($A41,'1.1. Операторы (1С, Все ТА)'!$A:$G,5,0),"")</f>
        <v>77</v>
      </c>
      <c r="O41" s="136">
        <f>IFERROR(VLOOKUP($A41,'1.1. Операторы (1С, Все ТА)'!$A:$G,7,0),"")</f>
        <v>52</v>
      </c>
      <c r="P41" s="91">
        <f t="shared" si="37"/>
        <v>70</v>
      </c>
      <c r="Q41" s="136">
        <f>IFERROR(VLOOKUP($A41,'1.1. Операторы (1С, Все ТА)'!$A:$G,6,0),"")</f>
        <v>70</v>
      </c>
      <c r="S41" s="139">
        <f>IFERROR(VLOOKUP($A41,'1.2. Операторы (1С, КУ)'!$A:$G,4,0),"")</f>
        <v>33</v>
      </c>
      <c r="T41" s="136">
        <f>IFERROR(VLOOKUP($A41,'1.2. Операторы (1С, КУ)'!$A:$G,5,0),"")</f>
        <v>48</v>
      </c>
      <c r="U41" s="136">
        <f>IFERROR(VLOOKUP($A41,'1.2. Операторы (1С, КУ)'!$A:$G,7,0),"")</f>
        <v>27</v>
      </c>
      <c r="V41" s="91">
        <f t="shared" si="38"/>
        <v>42</v>
      </c>
      <c r="W41" s="136">
        <f>IFERROR(VLOOKUP($A41,'1.2. Операторы (1С, КУ)'!$A:$G,6,0),"")</f>
        <v>42</v>
      </c>
      <c r="Y41" s="136" t="str">
        <f>IFERROR(VLOOKUP($A41,'2. Техники (1С)'!$A:$E,4,0),"")</f>
        <v/>
      </c>
      <c r="Z41" s="142">
        <f>IFERROR(VLOOKUP($A41,'2. Техники (1С)'!$A:$E,5,0),"")</f>
        <v>3</v>
      </c>
      <c r="AA41" s="119">
        <f>IFERROR(VLOOKUP($A41,'6. Простои (Вин)'!$A:$D,4,0),0)</f>
        <v>2</v>
      </c>
      <c r="AB41" s="119">
        <f>IFERROR(VLOOKUP($A41,'5. ТА без связи (Вин)'!$A:$D,4,0),)</f>
        <v>5</v>
      </c>
      <c r="AC41" s="119">
        <f>VLOOKUP($A41,'4. Кол-во ТА (1С)'!$A:$E,5,0)</f>
        <v>357</v>
      </c>
    </row>
    <row r="42" spans="1:29" x14ac:dyDescent="0.25">
      <c r="A42" s="33" t="str">
        <f t="shared" si="29"/>
        <v>Старый Оскол44809</v>
      </c>
      <c r="B42" s="51">
        <v>44809</v>
      </c>
      <c r="C42" s="32" t="s">
        <v>39</v>
      </c>
      <c r="D42" s="78">
        <f t="shared" si="30"/>
        <v>1.3824884792626729E-2</v>
      </c>
      <c r="E42" s="79">
        <f t="shared" si="31"/>
        <v>0</v>
      </c>
      <c r="F42" s="79" t="str">
        <f t="shared" si="32"/>
        <v/>
      </c>
      <c r="G42" s="79" t="str">
        <f t="shared" si="33"/>
        <v/>
      </c>
      <c r="H42" s="79">
        <f t="shared" si="34"/>
        <v>0.89130434782608692</v>
      </c>
      <c r="I42" s="79">
        <f t="shared" si="39"/>
        <v>1</v>
      </c>
      <c r="J42" s="79">
        <f t="shared" si="36"/>
        <v>2.3809523809523836E-2</v>
      </c>
      <c r="K42" s="80">
        <f t="shared" si="26"/>
        <v>2.3809523809523836E-2</v>
      </c>
      <c r="L42" s="133">
        <f>VLOOKUP($A42,'3. % потерянной выручки (1С)'!$A:$D,4,0)</f>
        <v>9.0000000000000011E-3</v>
      </c>
      <c r="M42" s="139">
        <f>IFERROR(VLOOKUP($A42,'1.1. Операторы (1С, Все ТА)'!$A:$G,4,0),"")</f>
        <v>46</v>
      </c>
      <c r="N42" s="136">
        <f>IFERROR(VLOOKUP($A42,'1.1. Операторы (1С, Все ТА)'!$A:$G,5,0),"")</f>
        <v>42</v>
      </c>
      <c r="O42" s="136">
        <f>IFERROR(VLOOKUP($A42,'1.1. Операторы (1С, Все ТА)'!$A:$G,7,0),"")</f>
        <v>41</v>
      </c>
      <c r="P42" s="91">
        <f t="shared" si="37"/>
        <v>41</v>
      </c>
      <c r="Q42" s="136">
        <f>IFERROR(VLOOKUP($A42,'1.1. Операторы (1С, Все ТА)'!$A:$G,6,0),"")</f>
        <v>41</v>
      </c>
      <c r="S42" s="139">
        <f>IFERROR(VLOOKUP($A42,'1.2. Операторы (1С, КУ)'!$A:$G,4,0),"")</f>
        <v>7</v>
      </c>
      <c r="T42" s="136">
        <f>IFERROR(VLOOKUP($A42,'1.2. Операторы (1С, КУ)'!$A:$G,5,0),"")</f>
        <v>7</v>
      </c>
      <c r="U42" s="136">
        <f>IFERROR(VLOOKUP($A42,'1.2. Операторы (1С, КУ)'!$A:$G,7,0),"")</f>
        <v>7</v>
      </c>
      <c r="V42" s="91">
        <f t="shared" si="38"/>
        <v>7</v>
      </c>
      <c r="W42" s="136">
        <f>IFERROR(VLOOKUP($A42,'1.2. Операторы (1С, КУ)'!$A:$G,6,0),"")</f>
        <v>7</v>
      </c>
      <c r="Y42" s="136" t="str">
        <f>IFERROR(VLOOKUP($A42,'2. Техники (1С)'!$A:$E,4,0),"")</f>
        <v/>
      </c>
      <c r="Z42" s="142" t="str">
        <f>IFERROR(VLOOKUP($A42,'2. Техники (1С)'!$A:$E,5,0),"")</f>
        <v/>
      </c>
      <c r="AA42" s="119">
        <f>IFERROR(VLOOKUP($A42,'6. Простои (Вин)'!$A:$D,4,0),0)</f>
        <v>0</v>
      </c>
      <c r="AB42" s="119">
        <f>IFERROR(VLOOKUP($A42,'5. ТА без связи (Вин)'!$A:$D,4,0),)</f>
        <v>3</v>
      </c>
      <c r="AC42" s="119">
        <f>VLOOKUP($A42,'4. Кол-во ТА (1С)'!$A:$E,5,0)</f>
        <v>217</v>
      </c>
    </row>
    <row r="43" spans="1:29" x14ac:dyDescent="0.25">
      <c r="A43" s="33" t="str">
        <f t="shared" si="29"/>
        <v>Тольятти44809</v>
      </c>
      <c r="B43" s="51">
        <v>44809</v>
      </c>
      <c r="C43" s="32" t="s">
        <v>11</v>
      </c>
      <c r="D43" s="78">
        <f t="shared" si="30"/>
        <v>2.197802197802198E-2</v>
      </c>
      <c r="E43" s="79">
        <f t="shared" si="31"/>
        <v>0</v>
      </c>
      <c r="F43" s="79" t="str">
        <f t="shared" si="32"/>
        <v/>
      </c>
      <c r="G43" s="79" t="str">
        <f t="shared" si="33"/>
        <v/>
      </c>
      <c r="H43" s="79">
        <f t="shared" si="34"/>
        <v>0.91304347826086951</v>
      </c>
      <c r="I43" s="79">
        <f t="shared" si="39"/>
        <v>1</v>
      </c>
      <c r="J43" s="79">
        <f t="shared" si="36"/>
        <v>0.27272727272727271</v>
      </c>
      <c r="K43" s="80">
        <f t="shared" si="26"/>
        <v>0.27272727272727271</v>
      </c>
      <c r="L43" s="133">
        <f>VLOOKUP($A43,'3. % потерянной выручки (1С)'!$A:$D,4,0)</f>
        <v>9.0000000000000011E-3</v>
      </c>
      <c r="M43" s="139">
        <f>IFERROR(VLOOKUP($A43,'1.1. Операторы (1С, Все ТА)'!$A:$G,4,0),"")</f>
        <v>23</v>
      </c>
      <c r="N43" s="136">
        <f>IFERROR(VLOOKUP($A43,'1.1. Операторы (1С, Все ТА)'!$A:$G,5,0),"")</f>
        <v>22</v>
      </c>
      <c r="O43" s="136">
        <f>IFERROR(VLOOKUP($A43,'1.1. Операторы (1С, Все ТА)'!$A:$G,7,0),"")</f>
        <v>21</v>
      </c>
      <c r="P43" s="91">
        <f t="shared" si="37"/>
        <v>16</v>
      </c>
      <c r="Q43" s="136">
        <f>IFERROR(VLOOKUP($A43,'1.1. Операторы (1С, Все ТА)'!$A:$G,6,0),"")</f>
        <v>16</v>
      </c>
      <c r="S43" s="139">
        <f>IFERROR(VLOOKUP($A43,'1.2. Операторы (1С, КУ)'!$A:$G,4,0),"")</f>
        <v>10</v>
      </c>
      <c r="T43" s="136">
        <f>IFERROR(VLOOKUP($A43,'1.2. Операторы (1С, КУ)'!$A:$G,5,0),"")</f>
        <v>10</v>
      </c>
      <c r="U43" s="136">
        <f>IFERROR(VLOOKUP($A43,'1.2. Операторы (1С, КУ)'!$A:$G,7,0),"")</f>
        <v>10</v>
      </c>
      <c r="V43" s="91">
        <f t="shared" si="38"/>
        <v>9</v>
      </c>
      <c r="W43" s="136">
        <f>IFERROR(VLOOKUP($A43,'1.2. Операторы (1С, КУ)'!$A:$G,6,0),"")</f>
        <v>9</v>
      </c>
      <c r="Y43" s="136" t="str">
        <f>IFERROR(VLOOKUP($A43,'2. Техники (1С)'!$A:$E,4,0),"")</f>
        <v/>
      </c>
      <c r="Z43" s="142" t="str">
        <f>IFERROR(VLOOKUP($A43,'2. Техники (1С)'!$A:$E,5,0),"")</f>
        <v/>
      </c>
      <c r="AA43" s="119">
        <f>IFERROR(VLOOKUP($A43,'6. Простои (Вин)'!$A:$D,4,0),0)</f>
        <v>0</v>
      </c>
      <c r="AB43" s="119">
        <f>IFERROR(VLOOKUP($A43,'5. ТА без связи (Вин)'!$A:$D,4,0),)</f>
        <v>4</v>
      </c>
      <c r="AC43" s="119">
        <f>VLOOKUP($A43,'4. Кол-во ТА (1С)'!$A:$E,5,0)</f>
        <v>182</v>
      </c>
    </row>
    <row r="44" spans="1:29" x14ac:dyDescent="0.25">
      <c r="A44" s="33" t="str">
        <f t="shared" si="29"/>
        <v>Тула44809</v>
      </c>
      <c r="B44" s="51">
        <v>44809</v>
      </c>
      <c r="C44" s="32" t="s">
        <v>12</v>
      </c>
      <c r="D44" s="78">
        <f t="shared" si="30"/>
        <v>5.2631578947368418E-2</v>
      </c>
      <c r="E44" s="79">
        <f t="shared" si="31"/>
        <v>2.6315789473684209E-2</v>
      </c>
      <c r="F44" s="79" t="str">
        <f t="shared" si="32"/>
        <v/>
      </c>
      <c r="G44" s="79" t="str">
        <f t="shared" si="33"/>
        <v/>
      </c>
      <c r="H44" s="79">
        <f t="shared" si="34"/>
        <v>1</v>
      </c>
      <c r="I44" s="79">
        <f t="shared" si="39"/>
        <v>1</v>
      </c>
      <c r="J44" s="79">
        <f t="shared" si="36"/>
        <v>0</v>
      </c>
      <c r="K44" s="80">
        <f t="shared" si="26"/>
        <v>0</v>
      </c>
      <c r="L44" s="133">
        <f>VLOOKUP($A44,'3. % потерянной выручки (1С)'!$A:$D,4,0)</f>
        <v>0.01</v>
      </c>
      <c r="M44" s="139">
        <f>IFERROR(VLOOKUP($A44,'1.1. Операторы (1С, Все ТА)'!$A:$G,4,0),"")</f>
        <v>42</v>
      </c>
      <c r="N44" s="136">
        <f>IFERROR(VLOOKUP($A44,'1.1. Операторы (1С, Все ТА)'!$A:$G,5,0),"")</f>
        <v>44</v>
      </c>
      <c r="O44" s="136">
        <f>IFERROR(VLOOKUP($A44,'1.1. Операторы (1С, Все ТА)'!$A:$G,7,0),"")</f>
        <v>42</v>
      </c>
      <c r="P44" s="91">
        <f t="shared" si="37"/>
        <v>44</v>
      </c>
      <c r="Q44" s="136">
        <f>IFERROR(VLOOKUP($A44,'1.1. Операторы (1С, Все ТА)'!$A:$G,6,0),"")</f>
        <v>44</v>
      </c>
      <c r="S44" s="139">
        <f>IFERROR(VLOOKUP($A44,'1.2. Операторы (1С, КУ)'!$A:$G,4,0),"")</f>
        <v>12</v>
      </c>
      <c r="T44" s="136">
        <f>IFERROR(VLOOKUP($A44,'1.2. Операторы (1С, КУ)'!$A:$G,5,0),"")</f>
        <v>14</v>
      </c>
      <c r="U44" s="136">
        <f>IFERROR(VLOOKUP($A44,'1.2. Операторы (1С, КУ)'!$A:$G,7,0),"")</f>
        <v>12</v>
      </c>
      <c r="V44" s="91">
        <f t="shared" si="38"/>
        <v>14</v>
      </c>
      <c r="W44" s="136">
        <f>IFERROR(VLOOKUP($A44,'1.2. Операторы (1С, КУ)'!$A:$G,6,0),"")</f>
        <v>14</v>
      </c>
      <c r="Y44" s="136">
        <f>IFERROR(VLOOKUP($A44,'2. Техники (1С)'!$A:$E,4,0),"")</f>
        <v>3</v>
      </c>
      <c r="Z44" s="142" t="str">
        <f>IFERROR(VLOOKUP($A44,'2. Техники (1С)'!$A:$E,5,0),"")</f>
        <v/>
      </c>
      <c r="AA44" s="119">
        <f>IFERROR(VLOOKUP($A44,'6. Простои (Вин)'!$A:$D,4,0),0)</f>
        <v>7</v>
      </c>
      <c r="AB44" s="119">
        <f>IFERROR(VLOOKUP($A44,'5. ТА без связи (Вин)'!$A:$D,4,0),)</f>
        <v>14</v>
      </c>
      <c r="AC44" s="119">
        <f>VLOOKUP($A44,'4. Кол-во ТА (1С)'!$A:$E,5,0)</f>
        <v>266</v>
      </c>
    </row>
    <row r="45" spans="1:29" x14ac:dyDescent="0.25">
      <c r="A45" s="33" t="str">
        <f t="shared" si="29"/>
        <v>Уфа44809</v>
      </c>
      <c r="B45" s="51">
        <v>44809</v>
      </c>
      <c r="C45" s="32" t="s">
        <v>13</v>
      </c>
      <c r="D45" s="78">
        <f t="shared" si="30"/>
        <v>8.6455331412103754E-3</v>
      </c>
      <c r="E45" s="79">
        <f t="shared" si="31"/>
        <v>1.1527377521613832E-2</v>
      </c>
      <c r="F45" s="79" t="str">
        <f t="shared" si="32"/>
        <v/>
      </c>
      <c r="G45" s="79" t="str">
        <f t="shared" si="33"/>
        <v/>
      </c>
      <c r="H45" s="79">
        <f t="shared" si="34"/>
        <v>0.94845360824742264</v>
      </c>
      <c r="I45" s="79">
        <f t="shared" si="39"/>
        <v>1</v>
      </c>
      <c r="J45" s="79">
        <f t="shared" si="36"/>
        <v>1.0101010101010055E-2</v>
      </c>
      <c r="K45" s="80">
        <f t="shared" si="26"/>
        <v>1.0101010101010055E-2</v>
      </c>
      <c r="L45" s="133">
        <f>VLOOKUP($A45,'3. % потерянной выручки (1С)'!$A:$D,4,0)</f>
        <v>8.0000000000000002E-3</v>
      </c>
      <c r="M45" s="139">
        <f>IFERROR(VLOOKUP($A45,'1.1. Операторы (1С, Все ТА)'!$A:$G,4,0),"")</f>
        <v>97</v>
      </c>
      <c r="N45" s="136">
        <f>IFERROR(VLOOKUP($A45,'1.1. Операторы (1С, Все ТА)'!$A:$G,5,0),"")</f>
        <v>99</v>
      </c>
      <c r="O45" s="136">
        <f>IFERROR(VLOOKUP($A45,'1.1. Операторы (1С, Все ТА)'!$A:$G,7,0),"")</f>
        <v>92</v>
      </c>
      <c r="P45" s="91">
        <f t="shared" si="37"/>
        <v>98</v>
      </c>
      <c r="Q45" s="136">
        <f>IFERROR(VLOOKUP($A45,'1.1. Операторы (1С, Все ТА)'!$A:$G,6,0),"")</f>
        <v>98</v>
      </c>
      <c r="S45" s="139">
        <f>IFERROR(VLOOKUP($A45,'1.2. Операторы (1С, КУ)'!$A:$G,4,0),"")</f>
        <v>64</v>
      </c>
      <c r="T45" s="136">
        <f>IFERROR(VLOOKUP($A45,'1.2. Операторы (1С, КУ)'!$A:$G,5,0),"")</f>
        <v>66</v>
      </c>
      <c r="U45" s="136">
        <f>IFERROR(VLOOKUP($A45,'1.2. Операторы (1С, КУ)'!$A:$G,7,0),"")</f>
        <v>64</v>
      </c>
      <c r="V45" s="91">
        <f t="shared" si="38"/>
        <v>66</v>
      </c>
      <c r="W45" s="136">
        <f>IFERROR(VLOOKUP($A45,'1.2. Операторы (1С, КУ)'!$A:$G,6,0),"")</f>
        <v>66</v>
      </c>
      <c r="Y45" s="136">
        <f>IFERROR(VLOOKUP($A45,'2. Техники (1С)'!$A:$E,4,0),"")</f>
        <v>4</v>
      </c>
      <c r="Z45" s="142">
        <f>IFERROR(VLOOKUP($A45,'2. Техники (1С)'!$A:$E,5,0),"")</f>
        <v>6</v>
      </c>
      <c r="AA45" s="119">
        <f>IFERROR(VLOOKUP($A45,'6. Простои (Вин)'!$A:$D,4,0),0)</f>
        <v>4</v>
      </c>
      <c r="AB45" s="119">
        <f>IFERROR(VLOOKUP($A45,'5. ТА без связи (Вин)'!$A:$D,4,0),)</f>
        <v>3</v>
      </c>
      <c r="AC45" s="119">
        <f>VLOOKUP($A45,'4. Кол-во ТА (1С)'!$A:$E,5,0)</f>
        <v>347</v>
      </c>
    </row>
    <row r="46" spans="1:29" ht="15.75" thickBot="1" x14ac:dyDescent="0.3">
      <c r="A46" s="44" t="str">
        <f t="shared" si="29"/>
        <v>Ярославль44809</v>
      </c>
      <c r="B46" s="53">
        <v>44809</v>
      </c>
      <c r="C46" s="45" t="s">
        <v>14</v>
      </c>
      <c r="D46" s="81">
        <f t="shared" si="30"/>
        <v>1.3297872340425532E-2</v>
      </c>
      <c r="E46" s="82">
        <f t="shared" si="31"/>
        <v>5.3191489361702126E-3</v>
      </c>
      <c r="F46" s="82" t="str">
        <f t="shared" si="32"/>
        <v/>
      </c>
      <c r="G46" s="82" t="str">
        <f t="shared" si="33"/>
        <v/>
      </c>
      <c r="H46" s="82">
        <f t="shared" si="34"/>
        <v>0.875</v>
      </c>
      <c r="I46" s="82">
        <f t="shared" si="39"/>
        <v>0.83333333333333337</v>
      </c>
      <c r="J46" s="82">
        <f t="shared" si="36"/>
        <v>1.3157894736842146E-2</v>
      </c>
      <c r="K46" s="83">
        <f>IFERROR(1-Q46/N46,"")</f>
        <v>1.3157894736842146E-2</v>
      </c>
      <c r="L46" s="134">
        <f>VLOOKUP($A46,'3. % потерянной выручки (1С)'!$A:$D,4,0)</f>
        <v>8.0000000000000002E-3</v>
      </c>
      <c r="M46" s="140">
        <f>IFERROR(VLOOKUP($A46,'1.1. Операторы (1С, Все ТА)'!$A:$G,4,0),"")</f>
        <v>72</v>
      </c>
      <c r="N46" s="137">
        <f>IFERROR(VLOOKUP($A46,'1.1. Операторы (1С, Все ТА)'!$A:$G,5,0),"")</f>
        <v>76</v>
      </c>
      <c r="O46" s="137">
        <f>IFERROR(VLOOKUP($A46,'1.1. Операторы (1С, Все ТА)'!$A:$G,7,0),"")</f>
        <v>63</v>
      </c>
      <c r="P46" s="92">
        <f t="shared" si="37"/>
        <v>75</v>
      </c>
      <c r="Q46" s="137">
        <f>IFERROR(VLOOKUP($A46,'1.1. Операторы (1С, Все ТА)'!$A:$G,6,0),"")</f>
        <v>75</v>
      </c>
      <c r="R46" s="65"/>
      <c r="S46" s="140">
        <f>IFERROR(VLOOKUP($A46,'1.2. Операторы (1С, КУ)'!$A:$G,4,0),"")</f>
        <v>12</v>
      </c>
      <c r="T46" s="137">
        <f>IFERROR(VLOOKUP($A46,'1.2. Операторы (1С, КУ)'!$A:$G,5,0),"")</f>
        <v>13</v>
      </c>
      <c r="U46" s="137">
        <f>IFERROR(VLOOKUP($A46,'1.2. Операторы (1С, КУ)'!$A:$G,7,0),"")</f>
        <v>10</v>
      </c>
      <c r="V46" s="92">
        <f t="shared" si="38"/>
        <v>13</v>
      </c>
      <c r="W46" s="137">
        <f>IFERROR(VLOOKUP($A46,'1.2. Операторы (1С, КУ)'!$A:$G,6,0),"")</f>
        <v>13</v>
      </c>
      <c r="X46" s="65"/>
      <c r="Y46" s="137">
        <f>IFERROR(VLOOKUP($A46,'2. Техники (1С)'!$A:$E,4,0),"")</f>
        <v>1</v>
      </c>
      <c r="Z46" s="143">
        <f>IFERROR(VLOOKUP($A46,'2. Техники (1С)'!$A:$E,5,0),"")</f>
        <v>1</v>
      </c>
      <c r="AA46" s="120">
        <f>IFERROR(VLOOKUP($A46,'6. Простои (Вин)'!$A:$D,4,0),0)</f>
        <v>2</v>
      </c>
      <c r="AB46" s="120">
        <f>IFERROR(VLOOKUP($A46,'5. ТА без связи (Вин)'!$A:$D,4,0),)</f>
        <v>5</v>
      </c>
      <c r="AC46" s="120">
        <f>VLOOKUP($A46,'4. Кол-во ТА (1С)'!$A:$E,5,0)</f>
        <v>376</v>
      </c>
    </row>
    <row r="47" spans="1:29" ht="15.75" thickBot="1" x14ac:dyDescent="0.3">
      <c r="A47" s="49" t="str">
        <f t="shared" si="29"/>
        <v>ФС44809</v>
      </c>
      <c r="B47" s="54">
        <v>44809</v>
      </c>
      <c r="C47" s="46" t="s">
        <v>15</v>
      </c>
      <c r="D47" s="84">
        <f t="shared" si="30"/>
        <v>2.1346830985915492E-2</v>
      </c>
      <c r="E47" s="85">
        <f t="shared" si="31"/>
        <v>1.3204225352112676E-2</v>
      </c>
      <c r="F47" s="85" t="str">
        <f t="shared" si="32"/>
        <v/>
      </c>
      <c r="G47" s="85" t="str">
        <f t="shared" si="33"/>
        <v/>
      </c>
      <c r="H47" s="85">
        <f t="shared" si="34"/>
        <v>0.80967402733964244</v>
      </c>
      <c r="I47" s="85">
        <f>IFERROR(U47/S47,"")</f>
        <v>0.89141414141414144</v>
      </c>
      <c r="J47" s="86">
        <f t="shared" si="36"/>
        <v>5.8697972251867681E-2</v>
      </c>
      <c r="K47" s="87">
        <f t="shared" ref="K47:K59" si="40">IFERROR(1-Q47/N47,"")</f>
        <v>5.8697972251867681E-2</v>
      </c>
      <c r="L47" s="63">
        <f>VLOOKUP($A47,'3. % потерянной выручки (1С)'!$A:$D,4,0)</f>
        <v>0</v>
      </c>
      <c r="M47" s="93">
        <f>SUM(M34:M46)</f>
        <v>951</v>
      </c>
      <c r="N47" s="94">
        <f>SUM(N34:N46)</f>
        <v>937</v>
      </c>
      <c r="O47" s="94">
        <f>SUM(O34:O46)</f>
        <v>770</v>
      </c>
      <c r="P47" s="94">
        <f t="shared" ref="P47" si="41">Q47+R47</f>
        <v>882</v>
      </c>
      <c r="Q47" s="94">
        <f>SUM(Q34:Q46)</f>
        <v>882</v>
      </c>
      <c r="R47" s="66">
        <f>SUM(R34:R46)</f>
        <v>0</v>
      </c>
      <c r="S47" s="93">
        <f>SUM(S34:S46)</f>
        <v>396</v>
      </c>
      <c r="T47" s="94">
        <f>SUM(T34:T46)</f>
        <v>421</v>
      </c>
      <c r="U47" s="94">
        <f>SUM(U34:U46)</f>
        <v>353</v>
      </c>
      <c r="V47" s="94">
        <f>W47+X47</f>
        <v>389</v>
      </c>
      <c r="W47" s="94">
        <f t="shared" ref="W47:AC47" si="42">SUM(W34:W46)</f>
        <v>389</v>
      </c>
      <c r="X47" s="66">
        <f t="shared" si="42"/>
        <v>0</v>
      </c>
      <c r="Y47" s="94">
        <f t="shared" si="42"/>
        <v>25</v>
      </c>
      <c r="Z47" s="99">
        <f t="shared" si="42"/>
        <v>32</v>
      </c>
      <c r="AA47" s="97">
        <f t="shared" si="42"/>
        <v>60</v>
      </c>
      <c r="AB47" s="97">
        <f t="shared" si="42"/>
        <v>97</v>
      </c>
      <c r="AC47" s="97">
        <f t="shared" si="42"/>
        <v>4544</v>
      </c>
    </row>
    <row r="48" spans="1:29" ht="15.75" thickTop="1" x14ac:dyDescent="0.25">
      <c r="A48" s="33" t="str">
        <f t="shared" ref="A48:A61" si="43">CONCATENATE(C48,B48)</f>
        <v>Воронеж44810</v>
      </c>
      <c r="B48" s="51">
        <v>44810</v>
      </c>
      <c r="C48" s="32" t="s">
        <v>5</v>
      </c>
      <c r="D48" s="78">
        <f t="shared" ref="D48:D61" si="44">IFERROR(AB48/AC48,"")</f>
        <v>1.3123359580052493E-2</v>
      </c>
      <c r="E48" s="79">
        <f t="shared" ref="E48:E61" si="45">IFERROR(AA48/AC48,"")</f>
        <v>7.874015748031496E-3</v>
      </c>
      <c r="F48" s="79" t="str">
        <f t="shared" ref="F48:F61" si="46">IFERROR(AG48/AD48,"")</f>
        <v/>
      </c>
      <c r="G48" s="79" t="str">
        <f t="shared" ref="G48:G61" si="47">IFERROR((AA48-AG48)/AD48,"")</f>
        <v/>
      </c>
      <c r="H48" s="79">
        <f t="shared" ref="H48:H61" si="48">IFERROR(O48/M48,"")</f>
        <v>1</v>
      </c>
      <c r="I48" s="79">
        <f t="shared" ref="I48:I50" si="49">IFERROR(U48/S48,"")</f>
        <v>1</v>
      </c>
      <c r="J48" s="79">
        <f t="shared" ref="J48:J61" si="50">IFERROR(1-P48/N48,"")</f>
        <v>0.1216216216216216</v>
      </c>
      <c r="K48" s="80">
        <f t="shared" si="40"/>
        <v>0.1216216216216216</v>
      </c>
      <c r="L48" s="133">
        <f>VLOOKUP($A48,'3. % потерянной выручки (1С)'!$A:$D,4,0)</f>
        <v>6.0000000000000001E-3</v>
      </c>
      <c r="M48" s="139">
        <f>IFERROR(VLOOKUP($A48,'1.1. Операторы (1С, Все ТА)'!$A:$G,4,0),"")</f>
        <v>74</v>
      </c>
      <c r="N48" s="136">
        <f>IFERROR(VLOOKUP($A48,'1.1. Операторы (1С, Все ТА)'!$A:$G,5,0),"")</f>
        <v>74</v>
      </c>
      <c r="O48" s="136">
        <f>IFERROR(VLOOKUP($A48,'1.1. Операторы (1С, Все ТА)'!$A:$G,7,0),"")</f>
        <v>74</v>
      </c>
      <c r="P48" s="91">
        <f t="shared" ref="P48:P60" si="51">IFERROR(Q48+R48,"")</f>
        <v>65</v>
      </c>
      <c r="Q48" s="136">
        <f>IFERROR(VLOOKUP($A48,'1.1. Операторы (1С, Все ТА)'!$A:$G,6,0),"")</f>
        <v>65</v>
      </c>
      <c r="S48" s="139">
        <f>IFERROR(VLOOKUP($A48,'1.2. Операторы (1С, КУ)'!$A:$G,4,0),"")</f>
        <v>31</v>
      </c>
      <c r="T48" s="136">
        <f>IFERROR(VLOOKUP($A48,'1.2. Операторы (1С, КУ)'!$A:$G,5,0),"")</f>
        <v>31</v>
      </c>
      <c r="U48" s="136">
        <f>IFERROR(VLOOKUP($A48,'1.2. Операторы (1С, КУ)'!$A:$G,7,0),"")</f>
        <v>31</v>
      </c>
      <c r="V48" s="91">
        <f t="shared" ref="V48:V60" si="52">IFERROR(W48+X48,"")</f>
        <v>24</v>
      </c>
      <c r="W48" s="136">
        <f>IFERROR(VLOOKUP($A48,'1.2. Операторы (1С, КУ)'!$A:$G,6,0),"")</f>
        <v>24</v>
      </c>
      <c r="Y48" s="136">
        <f>IFERROR(VLOOKUP($A48,'2. Техники (1С)'!$A:$E,4,0),"")</f>
        <v>4</v>
      </c>
      <c r="Z48" s="142">
        <f>IFERROR(VLOOKUP($A48,'2. Техники (1С)'!$A:$E,5,0),"")</f>
        <v>2</v>
      </c>
      <c r="AA48" s="119">
        <f>IFERROR(VLOOKUP($A48,'6. Простои (Вин)'!$A:$D,4,0),0)</f>
        <v>3</v>
      </c>
      <c r="AB48" s="119">
        <f>IFERROR(VLOOKUP($A48,'5. ТА без связи (Вин)'!$A:$D,4,0),)</f>
        <v>5</v>
      </c>
      <c r="AC48" s="119">
        <f>VLOOKUP($A48,'4. Кол-во ТА (1С)'!$A:$E,5,0)</f>
        <v>381</v>
      </c>
    </row>
    <row r="49" spans="1:29" x14ac:dyDescent="0.25">
      <c r="A49" s="33" t="str">
        <f t="shared" si="43"/>
        <v>Калининград44810</v>
      </c>
      <c r="B49" s="51">
        <v>44810</v>
      </c>
      <c r="C49" s="32" t="s">
        <v>6</v>
      </c>
      <c r="D49" s="78">
        <f t="shared" si="44"/>
        <v>2.0799999999999999E-2</v>
      </c>
      <c r="E49" s="79">
        <f t="shared" si="45"/>
        <v>1.9199999999999998E-2</v>
      </c>
      <c r="F49" s="79" t="str">
        <f t="shared" si="46"/>
        <v/>
      </c>
      <c r="G49" s="79" t="str">
        <f t="shared" si="47"/>
        <v/>
      </c>
      <c r="H49" s="79">
        <f t="shared" si="48"/>
        <v>0.23076923076923078</v>
      </c>
      <c r="I49" s="79" t="str">
        <f t="shared" si="49"/>
        <v/>
      </c>
      <c r="J49" s="79">
        <f t="shared" si="50"/>
        <v>0.13913043478260867</v>
      </c>
      <c r="K49" s="80">
        <f t="shared" si="40"/>
        <v>0.13913043478260867</v>
      </c>
      <c r="L49" s="133">
        <f>VLOOKUP($A49,'3. % потерянной выручки (1С)'!$A:$D,4,0)</f>
        <v>6.9999999999999993E-3</v>
      </c>
      <c r="M49" s="139">
        <f>IFERROR(VLOOKUP($A49,'1.1. Операторы (1С, Все ТА)'!$A:$G,4,0),"")</f>
        <v>26</v>
      </c>
      <c r="N49" s="136">
        <f>IFERROR(VLOOKUP($A49,'1.1. Операторы (1С, Все ТА)'!$A:$G,5,0),"")</f>
        <v>115</v>
      </c>
      <c r="O49" s="136">
        <f>IFERROR(VLOOKUP($A49,'1.1. Операторы (1С, Все ТА)'!$A:$G,7,0),"")</f>
        <v>6</v>
      </c>
      <c r="P49" s="91">
        <f t="shared" si="51"/>
        <v>99</v>
      </c>
      <c r="Q49" s="136">
        <f>IFERROR(VLOOKUP($A49,'1.1. Операторы (1С, Все ТА)'!$A:$G,6,0),"")</f>
        <v>99</v>
      </c>
      <c r="S49" s="139" t="str">
        <f>IFERROR(VLOOKUP($A49,'1.2. Операторы (1С, КУ)'!$A:$G,4,0),"")</f>
        <v/>
      </c>
      <c r="T49" s="136">
        <f>IFERROR(VLOOKUP($A49,'1.2. Операторы (1С, КУ)'!$A:$G,5,0),"")</f>
        <v>17</v>
      </c>
      <c r="U49" s="136" t="str">
        <f>IFERROR(VLOOKUP($A49,'1.2. Операторы (1С, КУ)'!$A:$G,7,0),"")</f>
        <v/>
      </c>
      <c r="V49" s="91">
        <f t="shared" si="52"/>
        <v>10</v>
      </c>
      <c r="W49" s="136">
        <f>IFERROR(VLOOKUP($A49,'1.2. Операторы (1С, КУ)'!$A:$G,6,0),"")</f>
        <v>10</v>
      </c>
      <c r="Y49" s="136">
        <f>IFERROR(VLOOKUP($A49,'2. Техники (1С)'!$A:$E,4,0),"")</f>
        <v>10</v>
      </c>
      <c r="Z49" s="142">
        <f>IFERROR(VLOOKUP($A49,'2. Техники (1С)'!$A:$E,5,0),"")</f>
        <v>10</v>
      </c>
      <c r="AA49" s="119">
        <f>IFERROR(VLOOKUP($A49,'6. Простои (Вин)'!$A:$D,4,0),0)</f>
        <v>12</v>
      </c>
      <c r="AB49" s="119">
        <f>IFERROR(VLOOKUP($A49,'5. ТА без связи (Вин)'!$A:$D,4,0),)</f>
        <v>13</v>
      </c>
      <c r="AC49" s="119">
        <f>VLOOKUP($A49,'4. Кол-во ТА (1С)'!$A:$E,5,0)</f>
        <v>625</v>
      </c>
    </row>
    <row r="50" spans="1:29" x14ac:dyDescent="0.25">
      <c r="A50" s="33" t="str">
        <f t="shared" si="43"/>
        <v>Липецк44810</v>
      </c>
      <c r="B50" s="51">
        <v>44810</v>
      </c>
      <c r="C50" s="32" t="s">
        <v>7</v>
      </c>
      <c r="D50" s="78">
        <f t="shared" si="44"/>
        <v>2.8409090909090908E-2</v>
      </c>
      <c r="E50" s="79">
        <f t="shared" si="45"/>
        <v>2.2727272727272728E-2</v>
      </c>
      <c r="F50" s="79" t="str">
        <f t="shared" si="46"/>
        <v/>
      </c>
      <c r="G50" s="79" t="str">
        <f t="shared" si="47"/>
        <v/>
      </c>
      <c r="H50" s="79">
        <f t="shared" si="48"/>
        <v>1</v>
      </c>
      <c r="I50" s="79">
        <f t="shared" si="49"/>
        <v>1</v>
      </c>
      <c r="J50" s="79">
        <f t="shared" si="50"/>
        <v>0</v>
      </c>
      <c r="K50" s="80">
        <f t="shared" si="40"/>
        <v>0</v>
      </c>
      <c r="L50" s="133">
        <f>VLOOKUP($A50,'3. % потерянной выручки (1С)'!$A:$D,4,0)</f>
        <v>9.0000000000000011E-3</v>
      </c>
      <c r="M50" s="139">
        <f>IFERROR(VLOOKUP($A50,'1.1. Операторы (1С, Все ТА)'!$A:$G,4,0),"")</f>
        <v>77</v>
      </c>
      <c r="N50" s="136">
        <f>IFERROR(VLOOKUP($A50,'1.1. Операторы (1С, Все ТА)'!$A:$G,5,0),"")</f>
        <v>77</v>
      </c>
      <c r="O50" s="136">
        <f>IFERROR(VLOOKUP($A50,'1.1. Операторы (1С, Все ТА)'!$A:$G,7,0),"")</f>
        <v>77</v>
      </c>
      <c r="P50" s="91">
        <f t="shared" si="51"/>
        <v>77</v>
      </c>
      <c r="Q50" s="136">
        <f>IFERROR(VLOOKUP($A50,'1.1. Операторы (1С, Все ТА)'!$A:$G,6,0),"")</f>
        <v>77</v>
      </c>
      <c r="S50" s="139">
        <f>IFERROR(VLOOKUP($A50,'1.2. Операторы (1С, КУ)'!$A:$G,4,0),"")</f>
        <v>18</v>
      </c>
      <c r="T50" s="136">
        <f>IFERROR(VLOOKUP($A50,'1.2. Операторы (1С, КУ)'!$A:$G,5,0),"")</f>
        <v>18</v>
      </c>
      <c r="U50" s="136">
        <f>IFERROR(VLOOKUP($A50,'1.2. Операторы (1С, КУ)'!$A:$G,7,0),"")</f>
        <v>18</v>
      </c>
      <c r="V50" s="91">
        <f t="shared" si="52"/>
        <v>18</v>
      </c>
      <c r="W50" s="136">
        <f>IFERROR(VLOOKUP($A50,'1.2. Операторы (1С, КУ)'!$A:$G,6,0),"")</f>
        <v>18</v>
      </c>
      <c r="Y50" s="136" t="str">
        <f>IFERROR(VLOOKUP($A50,'2. Техники (1С)'!$A:$E,4,0),"")</f>
        <v/>
      </c>
      <c r="Z50" s="142" t="str">
        <f>IFERROR(VLOOKUP($A50,'2. Техники (1С)'!$A:$E,5,0),"")</f>
        <v/>
      </c>
      <c r="AA50" s="119">
        <f>IFERROR(VLOOKUP($A50,'6. Простои (Вин)'!$A:$D,4,0),0)</f>
        <v>8</v>
      </c>
      <c r="AB50" s="119">
        <f>IFERROR(VLOOKUP($A50,'5. ТА без связи (Вин)'!$A:$D,4,0),)</f>
        <v>10</v>
      </c>
      <c r="AC50" s="119">
        <f>VLOOKUP($A50,'4. Кол-во ТА (1С)'!$A:$E,5,0)</f>
        <v>352</v>
      </c>
    </row>
    <row r="51" spans="1:29" x14ac:dyDescent="0.25">
      <c r="A51" s="33" t="str">
        <f t="shared" si="43"/>
        <v>Москва44810</v>
      </c>
      <c r="B51" s="51">
        <v>44810</v>
      </c>
      <c r="C51" s="32" t="s">
        <v>8</v>
      </c>
      <c r="D51" s="78">
        <f t="shared" si="44"/>
        <v>2.1956087824351298E-2</v>
      </c>
      <c r="E51" s="79">
        <f t="shared" si="45"/>
        <v>9.9800399201596807E-3</v>
      </c>
      <c r="F51" s="79" t="str">
        <f t="shared" si="46"/>
        <v/>
      </c>
      <c r="G51" s="79" t="str">
        <f t="shared" si="47"/>
        <v/>
      </c>
      <c r="H51" s="79">
        <f t="shared" si="48"/>
        <v>0.90566037735849059</v>
      </c>
      <c r="I51" s="79">
        <f>IFERROR(U51/S51,"")</f>
        <v>1</v>
      </c>
      <c r="J51" s="79">
        <f t="shared" si="50"/>
        <v>0.125</v>
      </c>
      <c r="K51" s="80">
        <f t="shared" si="40"/>
        <v>0.125</v>
      </c>
      <c r="L51" s="133">
        <f>VLOOKUP($A51,'3. % потерянной выручки (1С)'!$A:$D,4,0)</f>
        <v>9.0000000000000011E-3</v>
      </c>
      <c r="M51" s="139">
        <f>IFERROR(VLOOKUP($A51,'1.1. Операторы (1С, Все ТА)'!$A:$G,4,0),"")</f>
        <v>53</v>
      </c>
      <c r="N51" s="136">
        <f>IFERROR(VLOOKUP($A51,'1.1. Операторы (1С, Все ТА)'!$A:$G,5,0),"")</f>
        <v>48</v>
      </c>
      <c r="O51" s="136">
        <f>IFERROR(VLOOKUP($A51,'1.1. Операторы (1С, Все ТА)'!$A:$G,7,0),"")</f>
        <v>48</v>
      </c>
      <c r="P51" s="91">
        <f t="shared" si="51"/>
        <v>42</v>
      </c>
      <c r="Q51" s="136">
        <f>IFERROR(VLOOKUP($A51,'1.1. Операторы (1С, Все ТА)'!$A:$G,6,0),"")</f>
        <v>42</v>
      </c>
      <c r="S51" s="139">
        <f>IFERROR(VLOOKUP($A51,'1.2. Операторы (1С, КУ)'!$A:$G,4,0),"")</f>
        <v>11</v>
      </c>
      <c r="T51" s="136">
        <f>IFERROR(VLOOKUP($A51,'1.2. Операторы (1С, КУ)'!$A:$G,5,0),"")</f>
        <v>11</v>
      </c>
      <c r="U51" s="136">
        <f>IFERROR(VLOOKUP($A51,'1.2. Операторы (1С, КУ)'!$A:$G,7,0),"")</f>
        <v>11</v>
      </c>
      <c r="V51" s="91">
        <f t="shared" si="52"/>
        <v>9</v>
      </c>
      <c r="W51" s="136">
        <f>IFERROR(VLOOKUP($A51,'1.2. Операторы (1С, КУ)'!$A:$G,6,0),"")</f>
        <v>9</v>
      </c>
      <c r="Y51" s="136" t="str">
        <f>IFERROR(VLOOKUP($A51,'2. Техники (1С)'!$A:$E,4,0),"")</f>
        <v/>
      </c>
      <c r="Z51" s="142" t="str">
        <f>IFERROR(VLOOKUP($A51,'2. Техники (1С)'!$A:$E,5,0),"")</f>
        <v/>
      </c>
      <c r="AA51" s="119">
        <f>IFERROR(VLOOKUP($A51,'6. Простои (Вин)'!$A:$D,4,0),0)</f>
        <v>5</v>
      </c>
      <c r="AB51" s="119">
        <f>IFERROR(VLOOKUP($A51,'5. ТА без связи (Вин)'!$A:$D,4,0),)</f>
        <v>11</v>
      </c>
      <c r="AC51" s="119">
        <f>VLOOKUP($A51,'4. Кол-во ТА (1С)'!$A:$E,5,0)</f>
        <v>501</v>
      </c>
    </row>
    <row r="52" spans="1:29" x14ac:dyDescent="0.25">
      <c r="A52" s="33" t="str">
        <f t="shared" si="43"/>
        <v>Наб.Челны44810</v>
      </c>
      <c r="B52" s="51">
        <v>44810</v>
      </c>
      <c r="C52" s="32" t="s">
        <v>37</v>
      </c>
      <c r="D52" s="78">
        <f t="shared" si="44"/>
        <v>1.1673151750972763E-2</v>
      </c>
      <c r="E52" s="79">
        <f t="shared" si="45"/>
        <v>3.8910505836575876E-3</v>
      </c>
      <c r="F52" s="79" t="str">
        <f t="shared" si="46"/>
        <v/>
      </c>
      <c r="G52" s="79" t="str">
        <f t="shared" si="47"/>
        <v/>
      </c>
      <c r="H52" s="79">
        <f t="shared" si="48"/>
        <v>0.77777777777777779</v>
      </c>
      <c r="I52" s="79">
        <f t="shared" ref="I52:I60" si="53">IFERROR(U52/S52,"")</f>
        <v>1</v>
      </c>
      <c r="J52" s="79">
        <f t="shared" si="50"/>
        <v>1.7543859649122862E-2</v>
      </c>
      <c r="K52" s="80">
        <f t="shared" si="40"/>
        <v>1.7543859649122862E-2</v>
      </c>
      <c r="L52" s="133">
        <f>VLOOKUP($A52,'3. % потерянной выручки (1С)'!$A:$D,4,0)</f>
        <v>6.0000000000000001E-3</v>
      </c>
      <c r="M52" s="139">
        <f>IFERROR(VLOOKUP($A52,'1.1. Операторы (1С, Все ТА)'!$A:$G,4,0),"")</f>
        <v>72</v>
      </c>
      <c r="N52" s="136">
        <f>IFERROR(VLOOKUP($A52,'1.1. Операторы (1С, Все ТА)'!$A:$G,5,0),"")</f>
        <v>57</v>
      </c>
      <c r="O52" s="136">
        <f>IFERROR(VLOOKUP($A52,'1.1. Операторы (1С, Все ТА)'!$A:$G,7,0),"")</f>
        <v>56</v>
      </c>
      <c r="P52" s="91">
        <f t="shared" si="51"/>
        <v>56</v>
      </c>
      <c r="Q52" s="136">
        <f>IFERROR(VLOOKUP($A52,'1.1. Операторы (1С, Все ТА)'!$A:$G,6,0),"")</f>
        <v>56</v>
      </c>
      <c r="S52" s="139">
        <f>IFERROR(VLOOKUP($A52,'1.2. Операторы (1С, КУ)'!$A:$G,4,0),"")</f>
        <v>7</v>
      </c>
      <c r="T52" s="136">
        <f>IFERROR(VLOOKUP($A52,'1.2. Операторы (1С, КУ)'!$A:$G,5,0),"")</f>
        <v>7</v>
      </c>
      <c r="U52" s="136">
        <f>IFERROR(VLOOKUP($A52,'1.2. Операторы (1С, КУ)'!$A:$G,7,0),"")</f>
        <v>7</v>
      </c>
      <c r="V52" s="91">
        <f t="shared" si="52"/>
        <v>7</v>
      </c>
      <c r="W52" s="136">
        <f>IFERROR(VLOOKUP($A52,'1.2. Операторы (1С, КУ)'!$A:$G,6,0),"")</f>
        <v>7</v>
      </c>
      <c r="Y52" s="136" t="str">
        <f>IFERROR(VLOOKUP($A52,'2. Техники (1С)'!$A:$E,4,0),"")</f>
        <v/>
      </c>
      <c r="Z52" s="142" t="str">
        <f>IFERROR(VLOOKUP($A52,'2. Техники (1С)'!$A:$E,5,0),"")</f>
        <v/>
      </c>
      <c r="AA52" s="119">
        <f>IFERROR(VLOOKUP($A52,'6. Простои (Вин)'!$A:$D,4,0),0)</f>
        <v>1</v>
      </c>
      <c r="AB52" s="119">
        <f>IFERROR(VLOOKUP($A52,'5. ТА без связи (Вин)'!$A:$D,4,0),)</f>
        <v>3</v>
      </c>
      <c r="AC52" s="119">
        <f>VLOOKUP($A52,'4. Кол-во ТА (1С)'!$A:$E,5,0)</f>
        <v>257</v>
      </c>
    </row>
    <row r="53" spans="1:29" x14ac:dyDescent="0.25">
      <c r="A53" s="33" t="str">
        <f t="shared" si="43"/>
        <v>Нижний Новгород44810</v>
      </c>
      <c r="B53" s="51">
        <v>44810</v>
      </c>
      <c r="C53" s="32" t="s">
        <v>38</v>
      </c>
      <c r="D53" s="78">
        <f t="shared" si="44"/>
        <v>2.8481012658227847E-2</v>
      </c>
      <c r="E53" s="79">
        <f t="shared" si="45"/>
        <v>2.2151898734177215E-2</v>
      </c>
      <c r="F53" s="79" t="str">
        <f t="shared" si="46"/>
        <v/>
      </c>
      <c r="G53" s="79" t="str">
        <f t="shared" si="47"/>
        <v/>
      </c>
      <c r="H53" s="79">
        <f t="shared" si="48"/>
        <v>0.63736263736263732</v>
      </c>
      <c r="I53" s="79">
        <f t="shared" si="53"/>
        <v>0.6071428571428571</v>
      </c>
      <c r="J53" s="79">
        <f t="shared" si="50"/>
        <v>1.3333333333333308E-2</v>
      </c>
      <c r="K53" s="80">
        <f t="shared" si="40"/>
        <v>1.3333333333333308E-2</v>
      </c>
      <c r="L53" s="133">
        <f>VLOOKUP($A53,'3. % потерянной выручки (1С)'!$A:$D,4,0)</f>
        <v>1.1000000000000001E-2</v>
      </c>
      <c r="M53" s="139">
        <f>IFERROR(VLOOKUP($A53,'1.1. Операторы (1С, Все ТА)'!$A:$G,4,0),"")</f>
        <v>91</v>
      </c>
      <c r="N53" s="136">
        <f>IFERROR(VLOOKUP($A53,'1.1. Операторы (1С, Все ТА)'!$A:$G,5,0),"")</f>
        <v>75</v>
      </c>
      <c r="O53" s="136">
        <f>IFERROR(VLOOKUP($A53,'1.1. Операторы (1С, Все ТА)'!$A:$G,7,0),"")</f>
        <v>58</v>
      </c>
      <c r="P53" s="91">
        <f t="shared" si="51"/>
        <v>74</v>
      </c>
      <c r="Q53" s="136">
        <f>IFERROR(VLOOKUP($A53,'1.1. Операторы (1С, Все ТА)'!$A:$G,6,0),"")</f>
        <v>74</v>
      </c>
      <c r="S53" s="139">
        <f>IFERROR(VLOOKUP($A53,'1.2. Операторы (1С, КУ)'!$A:$G,4,0),"")</f>
        <v>28</v>
      </c>
      <c r="T53" s="136">
        <f>IFERROR(VLOOKUP($A53,'1.2. Операторы (1С, КУ)'!$A:$G,5,0),"")</f>
        <v>21</v>
      </c>
      <c r="U53" s="136">
        <f>IFERROR(VLOOKUP($A53,'1.2. Операторы (1С, КУ)'!$A:$G,7,0),"")</f>
        <v>17</v>
      </c>
      <c r="V53" s="91">
        <f t="shared" si="52"/>
        <v>20</v>
      </c>
      <c r="W53" s="136">
        <f>IFERROR(VLOOKUP($A53,'1.2. Операторы (1С, КУ)'!$A:$G,6,0),"")</f>
        <v>20</v>
      </c>
      <c r="Y53" s="136" t="str">
        <f>IFERROR(VLOOKUP($A53,'2. Техники (1С)'!$A:$E,4,0),"")</f>
        <v/>
      </c>
      <c r="Z53" s="142" t="str">
        <f>IFERROR(VLOOKUP($A53,'2. Техники (1С)'!$A:$E,5,0),"")</f>
        <v/>
      </c>
      <c r="AA53" s="119">
        <f>IFERROR(VLOOKUP($A53,'6. Простои (Вин)'!$A:$D,4,0),0)</f>
        <v>7</v>
      </c>
      <c r="AB53" s="119">
        <f>IFERROR(VLOOKUP($A53,'5. ТА без связи (Вин)'!$A:$D,4,0),)</f>
        <v>9</v>
      </c>
      <c r="AC53" s="119">
        <f>VLOOKUP($A53,'4. Кол-во ТА (1С)'!$A:$E,5,0)</f>
        <v>316</v>
      </c>
    </row>
    <row r="54" spans="1:29" x14ac:dyDescent="0.25">
      <c r="A54" s="33" t="str">
        <f t="shared" si="43"/>
        <v>Самара44810</v>
      </c>
      <c r="B54" s="51">
        <v>44810</v>
      </c>
      <c r="C54" s="32" t="s">
        <v>9</v>
      </c>
      <c r="D54" s="78">
        <f t="shared" si="44"/>
        <v>1.7632241813602016E-2</v>
      </c>
      <c r="E54" s="79">
        <f t="shared" si="45"/>
        <v>2.5188916876574307E-3</v>
      </c>
      <c r="F54" s="79" t="str">
        <f t="shared" si="46"/>
        <v/>
      </c>
      <c r="G54" s="79" t="str">
        <f t="shared" si="47"/>
        <v/>
      </c>
      <c r="H54" s="79">
        <f t="shared" si="48"/>
        <v>0.98901098901098905</v>
      </c>
      <c r="I54" s="79">
        <f t="shared" si="53"/>
        <v>1</v>
      </c>
      <c r="J54" s="79">
        <f t="shared" si="50"/>
        <v>0</v>
      </c>
      <c r="K54" s="80">
        <f t="shared" si="40"/>
        <v>0</v>
      </c>
      <c r="L54" s="133">
        <f>VLOOKUP($A54,'3. % потерянной выручки (1С)'!$A:$D,4,0)</f>
        <v>8.0000000000000002E-3</v>
      </c>
      <c r="M54" s="139">
        <f>IFERROR(VLOOKUP($A54,'1.1. Операторы (1С, Все ТА)'!$A:$G,4,0),"")</f>
        <v>91</v>
      </c>
      <c r="N54" s="136">
        <f>IFERROR(VLOOKUP($A54,'1.1. Операторы (1С, Все ТА)'!$A:$G,5,0),"")</f>
        <v>90</v>
      </c>
      <c r="O54" s="136">
        <f>IFERROR(VLOOKUP($A54,'1.1. Операторы (1С, Все ТА)'!$A:$G,7,0),"")</f>
        <v>90</v>
      </c>
      <c r="P54" s="91">
        <f t="shared" si="51"/>
        <v>90</v>
      </c>
      <c r="Q54" s="136">
        <f>IFERROR(VLOOKUP($A54,'1.1. Операторы (1С, Все ТА)'!$A:$G,6,0),"")</f>
        <v>90</v>
      </c>
      <c r="S54" s="139">
        <f>IFERROR(VLOOKUP($A54,'1.2. Операторы (1С, КУ)'!$A:$G,4,0),"")</f>
        <v>42</v>
      </c>
      <c r="T54" s="136">
        <f>IFERROR(VLOOKUP($A54,'1.2. Операторы (1С, КУ)'!$A:$G,5,0),"")</f>
        <v>42</v>
      </c>
      <c r="U54" s="136">
        <f>IFERROR(VLOOKUP($A54,'1.2. Операторы (1С, КУ)'!$A:$G,7,0),"")</f>
        <v>42</v>
      </c>
      <c r="V54" s="91">
        <f t="shared" si="52"/>
        <v>42</v>
      </c>
      <c r="W54" s="136">
        <f>IFERROR(VLOOKUP($A54,'1.2. Операторы (1С, КУ)'!$A:$G,6,0),"")</f>
        <v>42</v>
      </c>
      <c r="Y54" s="136">
        <f>IFERROR(VLOOKUP($A54,'2. Техники (1С)'!$A:$E,4,0),"")</f>
        <v>2</v>
      </c>
      <c r="Z54" s="142">
        <f>IFERROR(VLOOKUP($A54,'2. Техники (1С)'!$A:$E,5,0),"")</f>
        <v>2</v>
      </c>
      <c r="AA54" s="119">
        <f>IFERROR(VLOOKUP($A54,'6. Простои (Вин)'!$A:$D,4,0),0)</f>
        <v>1</v>
      </c>
      <c r="AB54" s="119">
        <f>IFERROR(VLOOKUP($A54,'5. ТА без связи (Вин)'!$A:$D,4,0),)</f>
        <v>7</v>
      </c>
      <c r="AC54" s="119">
        <f>VLOOKUP($A54,'4. Кол-во ТА (1С)'!$A:$E,5,0)</f>
        <v>397</v>
      </c>
    </row>
    <row r="55" spans="1:29" x14ac:dyDescent="0.25">
      <c r="A55" s="33" t="str">
        <f t="shared" si="43"/>
        <v>Саратов44810</v>
      </c>
      <c r="B55" s="51">
        <v>44810</v>
      </c>
      <c r="C55" s="32" t="s">
        <v>10</v>
      </c>
      <c r="D55" s="78">
        <f t="shared" si="44"/>
        <v>1.7492711370262391E-2</v>
      </c>
      <c r="E55" s="79">
        <f t="shared" si="45"/>
        <v>2.9154518950437317E-3</v>
      </c>
      <c r="F55" s="79" t="str">
        <f t="shared" si="46"/>
        <v/>
      </c>
      <c r="G55" s="79" t="str">
        <f t="shared" si="47"/>
        <v/>
      </c>
      <c r="H55" s="79">
        <f t="shared" si="48"/>
        <v>0.81538461538461537</v>
      </c>
      <c r="I55" s="79">
        <f t="shared" si="53"/>
        <v>0.77777777777777779</v>
      </c>
      <c r="J55" s="79">
        <f t="shared" si="50"/>
        <v>0.11594202898550721</v>
      </c>
      <c r="K55" s="80">
        <f t="shared" si="40"/>
        <v>0.11594202898550721</v>
      </c>
      <c r="L55" s="133">
        <f>VLOOKUP($A55,'3. % потерянной выручки (1С)'!$A:$D,4,0)</f>
        <v>9.0000000000000011E-3</v>
      </c>
      <c r="M55" s="139">
        <f>IFERROR(VLOOKUP($A55,'1.1. Операторы (1С, Все ТА)'!$A:$G,4,0),"")</f>
        <v>65</v>
      </c>
      <c r="N55" s="136">
        <f>IFERROR(VLOOKUP($A55,'1.1. Операторы (1С, Все ТА)'!$A:$G,5,0),"")</f>
        <v>69</v>
      </c>
      <c r="O55" s="136">
        <f>IFERROR(VLOOKUP($A55,'1.1. Операторы (1С, Все ТА)'!$A:$G,7,0),"")</f>
        <v>53</v>
      </c>
      <c r="P55" s="91">
        <f t="shared" si="51"/>
        <v>61</v>
      </c>
      <c r="Q55" s="136">
        <f>IFERROR(VLOOKUP($A55,'1.1. Операторы (1С, Все ТА)'!$A:$G,6,0),"")</f>
        <v>61</v>
      </c>
      <c r="S55" s="139">
        <f>IFERROR(VLOOKUP($A55,'1.2. Операторы (1С, КУ)'!$A:$G,4,0),"")</f>
        <v>18</v>
      </c>
      <c r="T55" s="136">
        <f>IFERROR(VLOOKUP($A55,'1.2. Операторы (1С, КУ)'!$A:$G,5,0),"")</f>
        <v>20</v>
      </c>
      <c r="U55" s="136">
        <f>IFERROR(VLOOKUP($A55,'1.2. Операторы (1С, КУ)'!$A:$G,7,0),"")</f>
        <v>14</v>
      </c>
      <c r="V55" s="91">
        <f t="shared" si="52"/>
        <v>16</v>
      </c>
      <c r="W55" s="136">
        <f>IFERROR(VLOOKUP($A55,'1.2. Операторы (1С, КУ)'!$A:$G,6,0),"")</f>
        <v>16</v>
      </c>
      <c r="Y55" s="136" t="str">
        <f>IFERROR(VLOOKUP($A55,'2. Техники (1С)'!$A:$E,4,0),"")</f>
        <v/>
      </c>
      <c r="Z55" s="142" t="str">
        <f>IFERROR(VLOOKUP($A55,'2. Техники (1С)'!$A:$E,5,0),"")</f>
        <v/>
      </c>
      <c r="AA55" s="119">
        <f>IFERROR(VLOOKUP($A55,'6. Простои (Вин)'!$A:$D,4,0),0)</f>
        <v>1</v>
      </c>
      <c r="AB55" s="119">
        <f>IFERROR(VLOOKUP($A55,'5. ТА без связи (Вин)'!$A:$D,4,0),)</f>
        <v>6</v>
      </c>
      <c r="AC55" s="119">
        <f>VLOOKUP($A55,'4. Кол-во ТА (1С)'!$A:$E,5,0)</f>
        <v>343</v>
      </c>
    </row>
    <row r="56" spans="1:29" x14ac:dyDescent="0.25">
      <c r="A56" s="33" t="str">
        <f t="shared" si="43"/>
        <v>Старый Оскол44810</v>
      </c>
      <c r="B56" s="51">
        <v>44810</v>
      </c>
      <c r="C56" s="32" t="s">
        <v>39</v>
      </c>
      <c r="D56" s="78">
        <f t="shared" si="44"/>
        <v>1.3953488372093023E-2</v>
      </c>
      <c r="E56" s="79">
        <f t="shared" si="45"/>
        <v>0</v>
      </c>
      <c r="F56" s="79" t="str">
        <f t="shared" si="46"/>
        <v/>
      </c>
      <c r="G56" s="79" t="str">
        <f t="shared" si="47"/>
        <v/>
      </c>
      <c r="H56" s="79">
        <f t="shared" si="48"/>
        <v>0.81578947368421051</v>
      </c>
      <c r="I56" s="79">
        <f t="shared" si="53"/>
        <v>0.9</v>
      </c>
      <c r="J56" s="79">
        <f t="shared" si="50"/>
        <v>0.25</v>
      </c>
      <c r="K56" s="80">
        <f t="shared" si="40"/>
        <v>0.25</v>
      </c>
      <c r="L56" s="133">
        <f>VLOOKUP($A56,'3. % потерянной выручки (1С)'!$A:$D,4,0)</f>
        <v>0.01</v>
      </c>
      <c r="M56" s="139">
        <f>IFERROR(VLOOKUP($A56,'1.1. Операторы (1С, Все ТА)'!$A:$G,4,0),"")</f>
        <v>38</v>
      </c>
      <c r="N56" s="136">
        <f>IFERROR(VLOOKUP($A56,'1.1. Операторы (1С, Все ТА)'!$A:$G,5,0),"")</f>
        <v>32</v>
      </c>
      <c r="O56" s="136">
        <f>IFERROR(VLOOKUP($A56,'1.1. Операторы (1С, Все ТА)'!$A:$G,7,0),"")</f>
        <v>31</v>
      </c>
      <c r="P56" s="91">
        <f t="shared" si="51"/>
        <v>24</v>
      </c>
      <c r="Q56" s="136">
        <f>IFERROR(VLOOKUP($A56,'1.1. Операторы (1С, Все ТА)'!$A:$G,6,0),"")</f>
        <v>24</v>
      </c>
      <c r="S56" s="139">
        <f>IFERROR(VLOOKUP($A56,'1.2. Операторы (1С, КУ)'!$A:$G,4,0),"")</f>
        <v>10</v>
      </c>
      <c r="T56" s="136">
        <f>IFERROR(VLOOKUP($A56,'1.2. Операторы (1С, КУ)'!$A:$G,5,0),"")</f>
        <v>9</v>
      </c>
      <c r="U56" s="136">
        <f>IFERROR(VLOOKUP($A56,'1.2. Операторы (1С, КУ)'!$A:$G,7,0),"")</f>
        <v>9</v>
      </c>
      <c r="V56" s="91">
        <f t="shared" si="52"/>
        <v>6</v>
      </c>
      <c r="W56" s="136">
        <f>IFERROR(VLOOKUP($A56,'1.2. Операторы (1С, КУ)'!$A:$G,6,0),"")</f>
        <v>6</v>
      </c>
      <c r="Y56" s="136" t="str">
        <f>IFERROR(VLOOKUP($A56,'2. Техники (1С)'!$A:$E,4,0),"")</f>
        <v/>
      </c>
      <c r="Z56" s="142">
        <f>IFERROR(VLOOKUP($A56,'2. Техники (1С)'!$A:$E,5,0),"")</f>
        <v>4</v>
      </c>
      <c r="AA56" s="119">
        <f>IFERROR(VLOOKUP($A56,'6. Простои (Вин)'!$A:$D,4,0),0)</f>
        <v>0</v>
      </c>
      <c r="AB56" s="119">
        <f>IFERROR(VLOOKUP($A56,'5. ТА без связи (Вин)'!$A:$D,4,0),)</f>
        <v>3</v>
      </c>
      <c r="AC56" s="119">
        <f>VLOOKUP($A56,'4. Кол-во ТА (1С)'!$A:$E,5,0)</f>
        <v>215</v>
      </c>
    </row>
    <row r="57" spans="1:29" x14ac:dyDescent="0.25">
      <c r="A57" s="33" t="str">
        <f t="shared" si="43"/>
        <v>Тольятти44810</v>
      </c>
      <c r="B57" s="51">
        <v>44810</v>
      </c>
      <c r="C57" s="32" t="s">
        <v>11</v>
      </c>
      <c r="D57" s="78">
        <f t="shared" si="44"/>
        <v>1.6304347826086956E-2</v>
      </c>
      <c r="E57" s="79">
        <f t="shared" si="45"/>
        <v>0</v>
      </c>
      <c r="F57" s="79" t="str">
        <f t="shared" si="46"/>
        <v/>
      </c>
      <c r="G57" s="79" t="str">
        <f t="shared" si="47"/>
        <v/>
      </c>
      <c r="H57" s="79">
        <f t="shared" si="48"/>
        <v>1</v>
      </c>
      <c r="I57" s="79">
        <f t="shared" si="53"/>
        <v>1</v>
      </c>
      <c r="J57" s="79">
        <f t="shared" si="50"/>
        <v>0.15789473684210531</v>
      </c>
      <c r="K57" s="80">
        <f t="shared" si="40"/>
        <v>0.15789473684210531</v>
      </c>
      <c r="L57" s="133">
        <f>VLOOKUP($A57,'3. % потерянной выручки (1С)'!$A:$D,4,0)</f>
        <v>1.1000000000000001E-2</v>
      </c>
      <c r="M57" s="139">
        <f>IFERROR(VLOOKUP($A57,'1.1. Операторы (1С, Все ТА)'!$A:$G,4,0),"")</f>
        <v>15</v>
      </c>
      <c r="N57" s="136">
        <f>IFERROR(VLOOKUP($A57,'1.1. Операторы (1С, Все ТА)'!$A:$G,5,0),"")</f>
        <v>19</v>
      </c>
      <c r="O57" s="136">
        <f>IFERROR(VLOOKUP($A57,'1.1. Операторы (1С, Все ТА)'!$A:$G,7,0),"")</f>
        <v>15</v>
      </c>
      <c r="P57" s="91">
        <f t="shared" si="51"/>
        <v>16</v>
      </c>
      <c r="Q57" s="136">
        <f>IFERROR(VLOOKUP($A57,'1.1. Операторы (1С, Все ТА)'!$A:$G,6,0),"")</f>
        <v>16</v>
      </c>
      <c r="S57" s="139">
        <f>IFERROR(VLOOKUP($A57,'1.2. Операторы (1С, КУ)'!$A:$G,4,0),"")</f>
        <v>8</v>
      </c>
      <c r="T57" s="136">
        <f>IFERROR(VLOOKUP($A57,'1.2. Операторы (1С, КУ)'!$A:$G,5,0),"")</f>
        <v>9</v>
      </c>
      <c r="U57" s="136">
        <f>IFERROR(VLOOKUP($A57,'1.2. Операторы (1С, КУ)'!$A:$G,7,0),"")</f>
        <v>8</v>
      </c>
      <c r="V57" s="91">
        <f t="shared" si="52"/>
        <v>7</v>
      </c>
      <c r="W57" s="136">
        <f>IFERROR(VLOOKUP($A57,'1.2. Операторы (1С, КУ)'!$A:$G,6,0),"")</f>
        <v>7</v>
      </c>
      <c r="Y57" s="136" t="str">
        <f>IFERROR(VLOOKUP($A57,'2. Техники (1С)'!$A:$E,4,0),"")</f>
        <v/>
      </c>
      <c r="Z57" s="142" t="str">
        <f>IFERROR(VLOOKUP($A57,'2. Техники (1С)'!$A:$E,5,0),"")</f>
        <v/>
      </c>
      <c r="AA57" s="119">
        <f>IFERROR(VLOOKUP($A57,'6. Простои (Вин)'!$A:$D,4,0),0)</f>
        <v>0</v>
      </c>
      <c r="AB57" s="119">
        <f>IFERROR(VLOOKUP($A57,'5. ТА без связи (Вин)'!$A:$D,4,0),)</f>
        <v>3</v>
      </c>
      <c r="AC57" s="119">
        <f>VLOOKUP($A57,'4. Кол-во ТА (1С)'!$A:$E,5,0)</f>
        <v>184</v>
      </c>
    </row>
    <row r="58" spans="1:29" x14ac:dyDescent="0.25">
      <c r="A58" s="33" t="str">
        <f t="shared" si="43"/>
        <v>Тула44810</v>
      </c>
      <c r="B58" s="51">
        <v>44810</v>
      </c>
      <c r="C58" s="32" t="s">
        <v>12</v>
      </c>
      <c r="D58" s="78">
        <f t="shared" si="44"/>
        <v>3.6630036630036632E-2</v>
      </c>
      <c r="E58" s="79">
        <f t="shared" si="45"/>
        <v>1.8315018315018316E-2</v>
      </c>
      <c r="F58" s="79" t="str">
        <f t="shared" si="46"/>
        <v/>
      </c>
      <c r="G58" s="79" t="str">
        <f t="shared" si="47"/>
        <v/>
      </c>
      <c r="H58" s="79">
        <f t="shared" si="48"/>
        <v>0.93333333333333335</v>
      </c>
      <c r="I58" s="79">
        <f t="shared" si="53"/>
        <v>0.875</v>
      </c>
      <c r="J58" s="79">
        <f t="shared" si="50"/>
        <v>0</v>
      </c>
      <c r="K58" s="80">
        <f t="shared" si="40"/>
        <v>0</v>
      </c>
      <c r="L58" s="133">
        <f>VLOOKUP($A58,'3. % потерянной выручки (1С)'!$A:$D,4,0)</f>
        <v>1.2E-2</v>
      </c>
      <c r="M58" s="139">
        <f>IFERROR(VLOOKUP($A58,'1.1. Операторы (1С, Все ТА)'!$A:$G,4,0),"")</f>
        <v>45</v>
      </c>
      <c r="N58" s="136">
        <f>IFERROR(VLOOKUP($A58,'1.1. Операторы (1С, Все ТА)'!$A:$G,5,0),"")</f>
        <v>44</v>
      </c>
      <c r="O58" s="136">
        <f>IFERROR(VLOOKUP($A58,'1.1. Операторы (1С, Все ТА)'!$A:$G,7,0),"")</f>
        <v>42</v>
      </c>
      <c r="P58" s="91">
        <f t="shared" si="51"/>
        <v>44</v>
      </c>
      <c r="Q58" s="136">
        <f>IFERROR(VLOOKUP($A58,'1.1. Операторы (1С, Все ТА)'!$A:$G,6,0),"")</f>
        <v>44</v>
      </c>
      <c r="S58" s="139">
        <f>IFERROR(VLOOKUP($A58,'1.2. Операторы (1С, КУ)'!$A:$G,4,0),"")</f>
        <v>8</v>
      </c>
      <c r="T58" s="136">
        <f>IFERROR(VLOOKUP($A58,'1.2. Операторы (1С, КУ)'!$A:$G,5,0),"")</f>
        <v>9</v>
      </c>
      <c r="U58" s="136">
        <f>IFERROR(VLOOKUP($A58,'1.2. Операторы (1С, КУ)'!$A:$G,7,0),"")</f>
        <v>7</v>
      </c>
      <c r="V58" s="91">
        <f t="shared" si="52"/>
        <v>9</v>
      </c>
      <c r="W58" s="136">
        <f>IFERROR(VLOOKUP($A58,'1.2. Операторы (1С, КУ)'!$A:$G,6,0),"")</f>
        <v>9</v>
      </c>
      <c r="Y58" s="136" t="str">
        <f>IFERROR(VLOOKUP($A58,'2. Техники (1С)'!$A:$E,4,0),"")</f>
        <v/>
      </c>
      <c r="Z58" s="142" t="str">
        <f>IFERROR(VLOOKUP($A58,'2. Техники (1С)'!$A:$E,5,0),"")</f>
        <v/>
      </c>
      <c r="AA58" s="119">
        <f>IFERROR(VLOOKUP($A58,'6. Простои (Вин)'!$A:$D,4,0),0)</f>
        <v>5</v>
      </c>
      <c r="AB58" s="119">
        <f>IFERROR(VLOOKUP($A58,'5. ТА без связи (Вин)'!$A:$D,4,0),)</f>
        <v>10</v>
      </c>
      <c r="AC58" s="119">
        <f>VLOOKUP($A58,'4. Кол-во ТА (1С)'!$A:$E,5,0)</f>
        <v>273</v>
      </c>
    </row>
    <row r="59" spans="1:29" x14ac:dyDescent="0.25">
      <c r="A59" s="33" t="str">
        <f t="shared" si="43"/>
        <v>Уфа44810</v>
      </c>
      <c r="B59" s="51">
        <v>44810</v>
      </c>
      <c r="C59" s="32" t="s">
        <v>13</v>
      </c>
      <c r="D59" s="78">
        <f t="shared" si="44"/>
        <v>1.4084507042253521E-2</v>
      </c>
      <c r="E59" s="79">
        <f t="shared" si="45"/>
        <v>5.6338028169014088E-3</v>
      </c>
      <c r="F59" s="79" t="str">
        <f t="shared" si="46"/>
        <v/>
      </c>
      <c r="G59" s="79" t="str">
        <f t="shared" si="47"/>
        <v/>
      </c>
      <c r="H59" s="79">
        <f t="shared" si="48"/>
        <v>0.94186046511627908</v>
      </c>
      <c r="I59" s="79">
        <f t="shared" si="53"/>
        <v>1</v>
      </c>
      <c r="J59" s="79">
        <f t="shared" si="50"/>
        <v>1.1363636363636354E-2</v>
      </c>
      <c r="K59" s="80">
        <f t="shared" si="40"/>
        <v>1.1363636363636354E-2</v>
      </c>
      <c r="L59" s="133">
        <f>VLOOKUP($A59,'3. % потерянной выручки (1С)'!$A:$D,4,0)</f>
        <v>9.0000000000000011E-3</v>
      </c>
      <c r="M59" s="139">
        <f>IFERROR(VLOOKUP($A59,'1.1. Операторы (1С, Все ТА)'!$A:$G,4,0),"")</f>
        <v>86</v>
      </c>
      <c r="N59" s="136">
        <f>IFERROR(VLOOKUP($A59,'1.1. Операторы (1С, Все ТА)'!$A:$G,5,0),"")</f>
        <v>88</v>
      </c>
      <c r="O59" s="136">
        <f>IFERROR(VLOOKUP($A59,'1.1. Операторы (1С, Все ТА)'!$A:$G,7,0),"")</f>
        <v>81</v>
      </c>
      <c r="P59" s="91">
        <f t="shared" si="51"/>
        <v>87</v>
      </c>
      <c r="Q59" s="136">
        <f>IFERROR(VLOOKUP($A59,'1.1. Операторы (1С, Все ТА)'!$A:$G,6,0),"")</f>
        <v>87</v>
      </c>
      <c r="S59" s="139">
        <f>IFERROR(VLOOKUP($A59,'1.2. Операторы (1С, КУ)'!$A:$G,4,0),"")</f>
        <v>48</v>
      </c>
      <c r="T59" s="136">
        <f>IFERROR(VLOOKUP($A59,'1.2. Операторы (1С, КУ)'!$A:$G,5,0),"")</f>
        <v>52</v>
      </c>
      <c r="U59" s="136">
        <f>IFERROR(VLOOKUP($A59,'1.2. Операторы (1С, КУ)'!$A:$G,7,0),"")</f>
        <v>48</v>
      </c>
      <c r="V59" s="91">
        <f t="shared" si="52"/>
        <v>51</v>
      </c>
      <c r="W59" s="136">
        <f>IFERROR(VLOOKUP($A59,'1.2. Операторы (1С, КУ)'!$A:$G,6,0),"")</f>
        <v>51</v>
      </c>
      <c r="Y59" s="136" t="str">
        <f>IFERROR(VLOOKUP($A59,'2. Техники (1С)'!$A:$E,4,0),"")</f>
        <v/>
      </c>
      <c r="Z59" s="142" t="str">
        <f>IFERROR(VLOOKUP($A59,'2. Техники (1С)'!$A:$E,5,0),"")</f>
        <v/>
      </c>
      <c r="AA59" s="119">
        <f>IFERROR(VLOOKUP($A59,'6. Простои (Вин)'!$A:$D,4,0),0)</f>
        <v>2</v>
      </c>
      <c r="AB59" s="119">
        <f>IFERROR(VLOOKUP($A59,'5. ТА без связи (Вин)'!$A:$D,4,0),)</f>
        <v>5</v>
      </c>
      <c r="AC59" s="119">
        <f>VLOOKUP($A59,'4. Кол-во ТА (1С)'!$A:$E,5,0)</f>
        <v>355</v>
      </c>
    </row>
    <row r="60" spans="1:29" ht="15.75" thickBot="1" x14ac:dyDescent="0.3">
      <c r="A60" s="44" t="str">
        <f t="shared" si="43"/>
        <v>Ярославль44810</v>
      </c>
      <c r="B60" s="53">
        <v>44810</v>
      </c>
      <c r="C60" s="45" t="s">
        <v>14</v>
      </c>
      <c r="D60" s="81">
        <f t="shared" si="44"/>
        <v>1.5831134564643801E-2</v>
      </c>
      <c r="E60" s="82">
        <f t="shared" si="45"/>
        <v>5.2770448548812663E-3</v>
      </c>
      <c r="F60" s="82" t="str">
        <f t="shared" si="46"/>
        <v/>
      </c>
      <c r="G60" s="82" t="str">
        <f t="shared" si="47"/>
        <v/>
      </c>
      <c r="H60" s="82">
        <f t="shared" si="48"/>
        <v>0.97560975609756095</v>
      </c>
      <c r="I60" s="82">
        <f t="shared" si="53"/>
        <v>1</v>
      </c>
      <c r="J60" s="82">
        <f t="shared" si="50"/>
        <v>2.3255813953488413E-2</v>
      </c>
      <c r="K60" s="83">
        <f>IFERROR(1-Q60/N60,"")</f>
        <v>2.3255813953488413E-2</v>
      </c>
      <c r="L60" s="134">
        <f>VLOOKUP($A60,'3. % потерянной выручки (1С)'!$A:$D,4,0)</f>
        <v>9.0000000000000011E-3</v>
      </c>
      <c r="M60" s="140">
        <f>IFERROR(VLOOKUP($A60,'1.1. Операторы (1С, Все ТА)'!$A:$G,4,0),"")</f>
        <v>82</v>
      </c>
      <c r="N60" s="137">
        <f>IFERROR(VLOOKUP($A60,'1.1. Операторы (1С, Все ТА)'!$A:$G,5,0),"")</f>
        <v>86</v>
      </c>
      <c r="O60" s="137">
        <f>IFERROR(VLOOKUP($A60,'1.1. Операторы (1С, Все ТА)'!$A:$G,7,0),"")</f>
        <v>80</v>
      </c>
      <c r="P60" s="92">
        <f t="shared" si="51"/>
        <v>84</v>
      </c>
      <c r="Q60" s="137">
        <f>IFERROR(VLOOKUP($A60,'1.1. Операторы (1С, Все ТА)'!$A:$G,6,0),"")</f>
        <v>84</v>
      </c>
      <c r="R60" s="65"/>
      <c r="S60" s="140">
        <f>IFERROR(VLOOKUP($A60,'1.2. Операторы (1С, КУ)'!$A:$G,4,0),"")</f>
        <v>18</v>
      </c>
      <c r="T60" s="137">
        <f>IFERROR(VLOOKUP($A60,'1.2. Операторы (1С, КУ)'!$A:$G,5,0),"")</f>
        <v>21</v>
      </c>
      <c r="U60" s="137">
        <f>IFERROR(VLOOKUP($A60,'1.2. Операторы (1С, КУ)'!$A:$G,7,0),"")</f>
        <v>18</v>
      </c>
      <c r="V60" s="92">
        <f t="shared" si="52"/>
        <v>21</v>
      </c>
      <c r="W60" s="137">
        <f>IFERROR(VLOOKUP($A60,'1.2. Операторы (1С, КУ)'!$A:$G,6,0),"")</f>
        <v>21</v>
      </c>
      <c r="X60" s="65"/>
      <c r="Y60" s="137">
        <f>IFERROR(VLOOKUP($A60,'2. Техники (1С)'!$A:$E,4,0),"")</f>
        <v>1</v>
      </c>
      <c r="Z60" s="143">
        <f>IFERROR(VLOOKUP($A60,'2. Техники (1С)'!$A:$E,5,0),"")</f>
        <v>2</v>
      </c>
      <c r="AA60" s="120">
        <f>IFERROR(VLOOKUP($A60,'6. Простои (Вин)'!$A:$D,4,0),0)</f>
        <v>2</v>
      </c>
      <c r="AB60" s="120">
        <f>IFERROR(VLOOKUP($A60,'5. ТА без связи (Вин)'!$A:$D,4,0),)</f>
        <v>6</v>
      </c>
      <c r="AC60" s="120">
        <f>VLOOKUP($A60,'4. Кол-во ТА (1С)'!$A:$E,5,0)</f>
        <v>379</v>
      </c>
    </row>
    <row r="61" spans="1:29" ht="15.75" thickBot="1" x14ac:dyDescent="0.3">
      <c r="A61" s="49" t="str">
        <f t="shared" si="43"/>
        <v>ФС44810</v>
      </c>
      <c r="B61" s="54">
        <v>44810</v>
      </c>
      <c r="C61" s="46" t="s">
        <v>15</v>
      </c>
      <c r="D61" s="84">
        <f t="shared" si="44"/>
        <v>1.9877675840978593E-2</v>
      </c>
      <c r="E61" s="85">
        <f t="shared" si="45"/>
        <v>1.0266491917868065E-2</v>
      </c>
      <c r="F61" s="85" t="str">
        <f t="shared" si="46"/>
        <v/>
      </c>
      <c r="G61" s="85" t="str">
        <f t="shared" si="47"/>
        <v/>
      </c>
      <c r="H61" s="85">
        <f t="shared" si="48"/>
        <v>0.87239263803680978</v>
      </c>
      <c r="I61" s="85">
        <f>IFERROR(U61/S61,"")</f>
        <v>0.93117408906882593</v>
      </c>
      <c r="J61" s="86">
        <f t="shared" si="50"/>
        <v>6.2929061784896989E-2</v>
      </c>
      <c r="K61" s="87">
        <f t="shared" ref="K61:K73" si="54">IFERROR(1-Q61/N61,"")</f>
        <v>6.2929061784896989E-2</v>
      </c>
      <c r="L61" s="63">
        <f>VLOOKUP($A61,'3. % потерянной выручки (1С)'!$A:$D,4,0)</f>
        <v>9.0000000000000011E-3</v>
      </c>
      <c r="M61" s="93">
        <f>SUM(M48:M60)</f>
        <v>815</v>
      </c>
      <c r="N61" s="94">
        <f>SUM(N48:N60)</f>
        <v>874</v>
      </c>
      <c r="O61" s="94">
        <f>SUM(O48:O60)</f>
        <v>711</v>
      </c>
      <c r="P61" s="94">
        <f t="shared" ref="P61" si="55">Q61+R61</f>
        <v>819</v>
      </c>
      <c r="Q61" s="94">
        <f>SUM(Q48:Q60)</f>
        <v>819</v>
      </c>
      <c r="R61" s="66">
        <f>SUM(R48:R60)</f>
        <v>0</v>
      </c>
      <c r="S61" s="93">
        <f>SUM(S48:S60)</f>
        <v>247</v>
      </c>
      <c r="T61" s="94">
        <f>SUM(T48:T60)</f>
        <v>267</v>
      </c>
      <c r="U61" s="94">
        <f>SUM(U48:U60)</f>
        <v>230</v>
      </c>
      <c r="V61" s="94">
        <f>W61+X61</f>
        <v>240</v>
      </c>
      <c r="W61" s="94">
        <f t="shared" ref="W61" si="56">SUM(W48:W60)</f>
        <v>240</v>
      </c>
      <c r="X61" s="66">
        <f t="shared" ref="X61" si="57">SUM(X48:X60)</f>
        <v>0</v>
      </c>
      <c r="Y61" s="94">
        <f t="shared" ref="Y61" si="58">SUM(Y48:Y60)</f>
        <v>17</v>
      </c>
      <c r="Z61" s="99">
        <f t="shared" ref="Z61" si="59">SUM(Z48:Z60)</f>
        <v>20</v>
      </c>
      <c r="AA61" s="97">
        <f t="shared" ref="AA61" si="60">SUM(AA48:AA60)</f>
        <v>47</v>
      </c>
      <c r="AB61" s="97">
        <f t="shared" ref="AB61" si="61">SUM(AB48:AB60)</f>
        <v>91</v>
      </c>
      <c r="AC61" s="97">
        <f t="shared" ref="AC61" si="62">SUM(AC48:AC60)</f>
        <v>4578</v>
      </c>
    </row>
    <row r="62" spans="1:29" ht="15.75" thickTop="1" x14ac:dyDescent="0.25">
      <c r="A62" s="33" t="str">
        <f t="shared" ref="A62:A75" si="63">CONCATENATE(C62,B62)</f>
        <v>Воронеж44811</v>
      </c>
      <c r="B62" s="51">
        <v>44811</v>
      </c>
      <c r="C62" s="32" t="s">
        <v>5</v>
      </c>
      <c r="D62" s="78">
        <f t="shared" ref="D62:D75" si="64">IFERROR(AB62/AC62,"")</f>
        <v>5.2493438320209973E-3</v>
      </c>
      <c r="E62" s="79">
        <f t="shared" ref="E62:E75" si="65">IFERROR(AA62/AC62,"")</f>
        <v>2.6246719160104987E-3</v>
      </c>
      <c r="F62" s="79" t="str">
        <f t="shared" ref="F62:F75" si="66">IFERROR(AG62/AD62,"")</f>
        <v/>
      </c>
      <c r="G62" s="79" t="str">
        <f t="shared" ref="G62:G75" si="67">IFERROR((AA62-AG62)/AD62,"")</f>
        <v/>
      </c>
      <c r="H62" s="79">
        <f t="shared" ref="H62:H75" si="68">IFERROR(O62/M62,"")</f>
        <v>0.98666666666666669</v>
      </c>
      <c r="I62" s="79">
        <f t="shared" ref="I62:I64" si="69">IFERROR(U62/S62,"")</f>
        <v>1</v>
      </c>
      <c r="J62" s="79">
        <f t="shared" ref="J62:J75" si="70">IFERROR(1-P62/N62,"")</f>
        <v>0.1216216216216216</v>
      </c>
      <c r="K62" s="80">
        <f t="shared" si="54"/>
        <v>0.1216216216216216</v>
      </c>
      <c r="L62" s="133">
        <f>VLOOKUP($A62,'3. % потерянной выручки (1С)'!$A:$D,4,0)</f>
        <v>6.9999999999999993E-3</v>
      </c>
      <c r="M62" s="139">
        <f>IFERROR(VLOOKUP($A62,'1.1. Операторы (1С, Все ТА)'!$A:$G,4,0),"")</f>
        <v>75</v>
      </c>
      <c r="N62" s="136">
        <f>IFERROR(VLOOKUP($A62,'1.1. Операторы (1С, Все ТА)'!$A:$G,5,0),"")</f>
        <v>74</v>
      </c>
      <c r="O62" s="136">
        <f>IFERROR(VLOOKUP($A62,'1.1. Операторы (1С, Все ТА)'!$A:$G,7,0),"")</f>
        <v>74</v>
      </c>
      <c r="P62" s="91">
        <f t="shared" ref="P62:P74" si="71">IFERROR(Q62+R62,"")</f>
        <v>65</v>
      </c>
      <c r="Q62" s="136">
        <f>IFERROR(VLOOKUP($A62,'1.1. Операторы (1С, Все ТА)'!$A:$G,6,0),"")</f>
        <v>65</v>
      </c>
      <c r="S62" s="139">
        <f>IFERROR(VLOOKUP($A62,'1.2. Операторы (1С, КУ)'!$A:$G,4,0),"")</f>
        <v>28</v>
      </c>
      <c r="T62" s="136">
        <f>IFERROR(VLOOKUP($A62,'1.2. Операторы (1С, КУ)'!$A:$G,5,0),"")</f>
        <v>28</v>
      </c>
      <c r="U62" s="136">
        <f>IFERROR(VLOOKUP($A62,'1.2. Операторы (1С, КУ)'!$A:$G,7,0),"")</f>
        <v>28</v>
      </c>
      <c r="V62" s="91">
        <f t="shared" ref="V62:V74" si="72">IFERROR(W62+X62,"")</f>
        <v>22</v>
      </c>
      <c r="W62" s="136">
        <f>IFERROR(VLOOKUP($A62,'1.2. Операторы (1С, КУ)'!$A:$G,6,0),"")</f>
        <v>22</v>
      </c>
      <c r="Y62" s="136">
        <f>IFERROR(VLOOKUP($A62,'2. Техники (1С)'!$A:$E,4,0),"")</f>
        <v>4</v>
      </c>
      <c r="Z62" s="142">
        <f>IFERROR(VLOOKUP($A62,'2. Техники (1С)'!$A:$E,5,0),"")</f>
        <v>2</v>
      </c>
      <c r="AA62" s="119">
        <f>IFERROR(VLOOKUP($A62,'6. Простои (Вин)'!$A:$D,4,0),0)</f>
        <v>1</v>
      </c>
      <c r="AB62" s="119">
        <f>IFERROR(VLOOKUP($A62,'5. ТА без связи (Вин)'!$A:$D,4,0),)</f>
        <v>2</v>
      </c>
      <c r="AC62" s="119">
        <f>VLOOKUP($A62,'4. Кол-во ТА (1С)'!$A:$E,5,0)</f>
        <v>381</v>
      </c>
    </row>
    <row r="63" spans="1:29" x14ac:dyDescent="0.25">
      <c r="A63" s="33" t="str">
        <f t="shared" si="63"/>
        <v>Калининград44811</v>
      </c>
      <c r="B63" s="51">
        <v>44811</v>
      </c>
      <c r="C63" s="32" t="s">
        <v>6</v>
      </c>
      <c r="D63" s="78">
        <f t="shared" si="64"/>
        <v>1.437699680511182E-2</v>
      </c>
      <c r="E63" s="79">
        <f t="shared" si="65"/>
        <v>1.437699680511182E-2</v>
      </c>
      <c r="F63" s="79" t="str">
        <f t="shared" si="66"/>
        <v/>
      </c>
      <c r="G63" s="79" t="str">
        <f t="shared" si="67"/>
        <v/>
      </c>
      <c r="H63" s="79">
        <f t="shared" si="68"/>
        <v>0.49549549549549549</v>
      </c>
      <c r="I63" s="79">
        <f t="shared" si="69"/>
        <v>0.47457627118644069</v>
      </c>
      <c r="J63" s="79">
        <f t="shared" si="70"/>
        <v>0.11764705882352944</v>
      </c>
      <c r="K63" s="80">
        <f t="shared" si="54"/>
        <v>0.11764705882352944</v>
      </c>
      <c r="L63" s="133">
        <f>VLOOKUP($A63,'3. % потерянной выручки (1С)'!$A:$D,4,0)</f>
        <v>6.9999999999999993E-3</v>
      </c>
      <c r="M63" s="139">
        <f>IFERROR(VLOOKUP($A63,'1.1. Операторы (1С, Все ТА)'!$A:$G,4,0),"")</f>
        <v>111</v>
      </c>
      <c r="N63" s="136">
        <f>IFERROR(VLOOKUP($A63,'1.1. Операторы (1С, Все ТА)'!$A:$G,5,0),"")</f>
        <v>119</v>
      </c>
      <c r="O63" s="136">
        <f>IFERROR(VLOOKUP($A63,'1.1. Операторы (1С, Все ТА)'!$A:$G,7,0),"")</f>
        <v>55</v>
      </c>
      <c r="P63" s="91">
        <f t="shared" si="71"/>
        <v>105</v>
      </c>
      <c r="Q63" s="136">
        <f>IFERROR(VLOOKUP($A63,'1.1. Операторы (1С, Все ТА)'!$A:$G,6,0),"")</f>
        <v>105</v>
      </c>
      <c r="S63" s="139">
        <f>IFERROR(VLOOKUP($A63,'1.2. Операторы (1С, КУ)'!$A:$G,4,0),"")</f>
        <v>59</v>
      </c>
      <c r="T63" s="136">
        <f>IFERROR(VLOOKUP($A63,'1.2. Операторы (1С, КУ)'!$A:$G,5,0),"")</f>
        <v>37</v>
      </c>
      <c r="U63" s="136">
        <f>IFERROR(VLOOKUP($A63,'1.2. Операторы (1С, КУ)'!$A:$G,7,0),"")</f>
        <v>28</v>
      </c>
      <c r="V63" s="91">
        <f t="shared" si="72"/>
        <v>33</v>
      </c>
      <c r="W63" s="136">
        <f>IFERROR(VLOOKUP($A63,'1.2. Операторы (1С, КУ)'!$A:$G,6,0),"")</f>
        <v>33</v>
      </c>
      <c r="Y63" s="136">
        <f>IFERROR(VLOOKUP($A63,'2. Техники (1С)'!$A:$E,4,0),"")</f>
        <v>14</v>
      </c>
      <c r="Z63" s="142">
        <f>IFERROR(VLOOKUP($A63,'2. Техники (1С)'!$A:$E,5,0),"")</f>
        <v>14</v>
      </c>
      <c r="AA63" s="119">
        <f>IFERROR(VLOOKUP($A63,'6. Простои (Вин)'!$A:$D,4,0),0)</f>
        <v>9</v>
      </c>
      <c r="AB63" s="119">
        <f>IFERROR(VLOOKUP($A63,'5. ТА без связи (Вин)'!$A:$D,4,0),)</f>
        <v>9</v>
      </c>
      <c r="AC63" s="119">
        <f>VLOOKUP($A63,'4. Кол-во ТА (1С)'!$A:$E,5,0)</f>
        <v>626</v>
      </c>
    </row>
    <row r="64" spans="1:29" x14ac:dyDescent="0.25">
      <c r="A64" s="33" t="str">
        <f t="shared" si="63"/>
        <v>Липецк44811</v>
      </c>
      <c r="B64" s="51">
        <v>44811</v>
      </c>
      <c r="C64" s="32" t="s">
        <v>7</v>
      </c>
      <c r="D64" s="78">
        <f t="shared" si="64"/>
        <v>3.4090909090909088E-2</v>
      </c>
      <c r="E64" s="79">
        <f t="shared" si="65"/>
        <v>1.4204545454545454E-2</v>
      </c>
      <c r="F64" s="79" t="str">
        <f t="shared" si="66"/>
        <v/>
      </c>
      <c r="G64" s="79" t="str">
        <f t="shared" si="67"/>
        <v/>
      </c>
      <c r="H64" s="79">
        <f t="shared" si="68"/>
        <v>1</v>
      </c>
      <c r="I64" s="79">
        <f t="shared" si="69"/>
        <v>1</v>
      </c>
      <c r="J64" s="79">
        <f t="shared" si="70"/>
        <v>1.8867924528301883E-2</v>
      </c>
      <c r="K64" s="80">
        <f t="shared" si="54"/>
        <v>1.8867924528301883E-2</v>
      </c>
      <c r="L64" s="133">
        <f>VLOOKUP($A64,'3. % потерянной выручки (1С)'!$A:$D,4,0)</f>
        <v>0.01</v>
      </c>
      <c r="M64" s="139">
        <f>IFERROR(VLOOKUP($A64,'1.1. Операторы (1С, Все ТА)'!$A:$G,4,0),"")</f>
        <v>53</v>
      </c>
      <c r="N64" s="136">
        <f>IFERROR(VLOOKUP($A64,'1.1. Операторы (1С, Все ТА)'!$A:$G,5,0),"")</f>
        <v>53</v>
      </c>
      <c r="O64" s="136">
        <f>IFERROR(VLOOKUP($A64,'1.1. Операторы (1С, Все ТА)'!$A:$G,7,0),"")</f>
        <v>53</v>
      </c>
      <c r="P64" s="91">
        <f t="shared" si="71"/>
        <v>52</v>
      </c>
      <c r="Q64" s="136">
        <f>IFERROR(VLOOKUP($A64,'1.1. Операторы (1С, Все ТА)'!$A:$G,6,0),"")</f>
        <v>52</v>
      </c>
      <c r="S64" s="139">
        <f>IFERROR(VLOOKUP($A64,'1.2. Операторы (1С, КУ)'!$A:$G,4,0),"")</f>
        <v>10</v>
      </c>
      <c r="T64" s="136">
        <f>IFERROR(VLOOKUP($A64,'1.2. Операторы (1С, КУ)'!$A:$G,5,0),"")</f>
        <v>10</v>
      </c>
      <c r="U64" s="136">
        <f>IFERROR(VLOOKUP($A64,'1.2. Операторы (1С, КУ)'!$A:$G,7,0),"")</f>
        <v>10</v>
      </c>
      <c r="V64" s="91">
        <f t="shared" si="72"/>
        <v>10</v>
      </c>
      <c r="W64" s="136">
        <f>IFERROR(VLOOKUP($A64,'1.2. Операторы (1С, КУ)'!$A:$G,6,0),"")</f>
        <v>10</v>
      </c>
      <c r="Y64" s="136" t="str">
        <f>IFERROR(VLOOKUP($A64,'2. Техники (1С)'!$A:$E,4,0),"")</f>
        <v/>
      </c>
      <c r="Z64" s="142">
        <f>IFERROR(VLOOKUP($A64,'2. Техники (1С)'!$A:$E,5,0),"")</f>
        <v>1</v>
      </c>
      <c r="AA64" s="119">
        <f>IFERROR(VLOOKUP($A64,'6. Простои (Вин)'!$A:$D,4,0),0)</f>
        <v>5</v>
      </c>
      <c r="AB64" s="119">
        <f>IFERROR(VLOOKUP($A64,'5. ТА без связи (Вин)'!$A:$D,4,0),)</f>
        <v>12</v>
      </c>
      <c r="AC64" s="119">
        <f>VLOOKUP($A64,'4. Кол-во ТА (1С)'!$A:$E,5,0)</f>
        <v>352</v>
      </c>
    </row>
    <row r="65" spans="1:29" x14ac:dyDescent="0.25">
      <c r="A65" s="33" t="str">
        <f t="shared" si="63"/>
        <v>Москва44811</v>
      </c>
      <c r="B65" s="51">
        <v>44811</v>
      </c>
      <c r="C65" s="32" t="s">
        <v>8</v>
      </c>
      <c r="D65" s="78">
        <f t="shared" si="64"/>
        <v>2.1912350597609563E-2</v>
      </c>
      <c r="E65" s="79">
        <f t="shared" si="65"/>
        <v>5.9760956175298804E-3</v>
      </c>
      <c r="F65" s="79" t="str">
        <f t="shared" si="66"/>
        <v/>
      </c>
      <c r="G65" s="79" t="str">
        <f t="shared" si="67"/>
        <v/>
      </c>
      <c r="H65" s="79">
        <f t="shared" si="68"/>
        <v>0.84210526315789469</v>
      </c>
      <c r="I65" s="79">
        <f>IFERROR(U65/S65,"")</f>
        <v>1</v>
      </c>
      <c r="J65" s="79">
        <f t="shared" si="70"/>
        <v>4.166666666666663E-2</v>
      </c>
      <c r="K65" s="80">
        <f t="shared" si="54"/>
        <v>4.166666666666663E-2</v>
      </c>
      <c r="L65" s="133">
        <f>VLOOKUP($A65,'3. % потерянной выручки (1С)'!$A:$D,4,0)</f>
        <v>0.01</v>
      </c>
      <c r="M65" s="139">
        <f>IFERROR(VLOOKUP($A65,'1.1. Операторы (1С, Все ТА)'!$A:$G,4,0),"")</f>
        <v>57</v>
      </c>
      <c r="N65" s="136">
        <f>IFERROR(VLOOKUP($A65,'1.1. Операторы (1С, Все ТА)'!$A:$G,5,0),"")</f>
        <v>48</v>
      </c>
      <c r="O65" s="136">
        <f>IFERROR(VLOOKUP($A65,'1.1. Операторы (1С, Все ТА)'!$A:$G,7,0),"")</f>
        <v>48</v>
      </c>
      <c r="P65" s="91">
        <f t="shared" si="71"/>
        <v>46</v>
      </c>
      <c r="Q65" s="136">
        <f>IFERROR(VLOOKUP($A65,'1.1. Операторы (1С, Все ТА)'!$A:$G,6,0),"")</f>
        <v>46</v>
      </c>
      <c r="S65" s="139">
        <f>IFERROR(VLOOKUP($A65,'1.2. Операторы (1С, КУ)'!$A:$G,4,0),"")</f>
        <v>7</v>
      </c>
      <c r="T65" s="136">
        <f>IFERROR(VLOOKUP($A65,'1.2. Операторы (1С, КУ)'!$A:$G,5,0),"")</f>
        <v>7</v>
      </c>
      <c r="U65" s="136">
        <f>IFERROR(VLOOKUP($A65,'1.2. Операторы (1С, КУ)'!$A:$G,7,0),"")</f>
        <v>7</v>
      </c>
      <c r="V65" s="91">
        <f t="shared" si="72"/>
        <v>7</v>
      </c>
      <c r="W65" s="136">
        <f>IFERROR(VLOOKUP($A65,'1.2. Операторы (1С, КУ)'!$A:$G,6,0),"")</f>
        <v>7</v>
      </c>
      <c r="Y65" s="136" t="str">
        <f>IFERROR(VLOOKUP($A65,'2. Техники (1С)'!$A:$E,4,0),"")</f>
        <v/>
      </c>
      <c r="Z65" s="142" t="str">
        <f>IFERROR(VLOOKUP($A65,'2. Техники (1С)'!$A:$E,5,0),"")</f>
        <v/>
      </c>
      <c r="AA65" s="119">
        <f>IFERROR(VLOOKUP($A65,'6. Простои (Вин)'!$A:$D,4,0),0)</f>
        <v>3</v>
      </c>
      <c r="AB65" s="119">
        <f>IFERROR(VLOOKUP($A65,'5. ТА без связи (Вин)'!$A:$D,4,0),)</f>
        <v>11</v>
      </c>
      <c r="AC65" s="119">
        <f>VLOOKUP($A65,'4. Кол-во ТА (1С)'!$A:$E,5,0)</f>
        <v>502</v>
      </c>
    </row>
    <row r="66" spans="1:29" x14ac:dyDescent="0.25">
      <c r="A66" s="33" t="str">
        <f t="shared" si="63"/>
        <v>Наб.Челны44811</v>
      </c>
      <c r="B66" s="51">
        <v>44811</v>
      </c>
      <c r="C66" s="32" t="s">
        <v>37</v>
      </c>
      <c r="D66" s="78">
        <f t="shared" si="64"/>
        <v>7.7821011673151752E-3</v>
      </c>
      <c r="E66" s="79">
        <f t="shared" si="65"/>
        <v>3.8910505836575876E-3</v>
      </c>
      <c r="F66" s="79" t="str">
        <f t="shared" si="66"/>
        <v/>
      </c>
      <c r="G66" s="79" t="str">
        <f t="shared" si="67"/>
        <v/>
      </c>
      <c r="H66" s="79">
        <f t="shared" si="68"/>
        <v>0.89743589743589747</v>
      </c>
      <c r="I66" s="79">
        <f t="shared" ref="I66:I74" si="73">IFERROR(U66/S66,"")</f>
        <v>0.95918367346938771</v>
      </c>
      <c r="J66" s="79">
        <f t="shared" si="70"/>
        <v>1.4285714285714235E-2</v>
      </c>
      <c r="K66" s="80">
        <f t="shared" si="54"/>
        <v>1.4285714285714235E-2</v>
      </c>
      <c r="L66" s="133">
        <f>VLOOKUP($A66,'3. % потерянной выручки (1С)'!$A:$D,4,0)</f>
        <v>6.9999999999999993E-3</v>
      </c>
      <c r="M66" s="139">
        <f>IFERROR(VLOOKUP($A66,'1.1. Операторы (1С, Все ТА)'!$A:$G,4,0),"")</f>
        <v>78</v>
      </c>
      <c r="N66" s="136">
        <f>IFERROR(VLOOKUP($A66,'1.1. Операторы (1С, Все ТА)'!$A:$G,5,0),"")</f>
        <v>70</v>
      </c>
      <c r="O66" s="136">
        <f>IFERROR(VLOOKUP($A66,'1.1. Операторы (1С, Все ТА)'!$A:$G,7,0),"")</f>
        <v>70</v>
      </c>
      <c r="P66" s="91">
        <f t="shared" si="71"/>
        <v>69</v>
      </c>
      <c r="Q66" s="136">
        <f>IFERROR(VLOOKUP($A66,'1.1. Операторы (1С, Все ТА)'!$A:$G,6,0),"")</f>
        <v>69</v>
      </c>
      <c r="S66" s="139">
        <f>IFERROR(VLOOKUP($A66,'1.2. Операторы (1С, КУ)'!$A:$G,4,0),"")</f>
        <v>49</v>
      </c>
      <c r="T66" s="136">
        <f>IFERROR(VLOOKUP($A66,'1.2. Операторы (1С, КУ)'!$A:$G,5,0),"")</f>
        <v>47</v>
      </c>
      <c r="U66" s="136">
        <f>IFERROR(VLOOKUP($A66,'1.2. Операторы (1С, КУ)'!$A:$G,7,0),"")</f>
        <v>47</v>
      </c>
      <c r="V66" s="91">
        <f t="shared" si="72"/>
        <v>46</v>
      </c>
      <c r="W66" s="136">
        <f>IFERROR(VLOOKUP($A66,'1.2. Операторы (1С, КУ)'!$A:$G,6,0),"")</f>
        <v>46</v>
      </c>
      <c r="Y66" s="136" t="str">
        <f>IFERROR(VLOOKUP($A66,'2. Техники (1С)'!$A:$E,4,0),"")</f>
        <v/>
      </c>
      <c r="Z66" s="142" t="str">
        <f>IFERROR(VLOOKUP($A66,'2. Техники (1С)'!$A:$E,5,0),"")</f>
        <v/>
      </c>
      <c r="AA66" s="119">
        <f>IFERROR(VLOOKUP($A66,'6. Простои (Вин)'!$A:$D,4,0),0)</f>
        <v>1</v>
      </c>
      <c r="AB66" s="119">
        <f>IFERROR(VLOOKUP($A66,'5. ТА без связи (Вин)'!$A:$D,4,0),)</f>
        <v>2</v>
      </c>
      <c r="AC66" s="119">
        <f>VLOOKUP($A66,'4. Кол-во ТА (1С)'!$A:$E,5,0)</f>
        <v>257</v>
      </c>
    </row>
    <row r="67" spans="1:29" x14ac:dyDescent="0.25">
      <c r="A67" s="33" t="str">
        <f t="shared" si="63"/>
        <v>Нижний Новгород44811</v>
      </c>
      <c r="B67" s="51">
        <v>44811</v>
      </c>
      <c r="C67" s="32" t="s">
        <v>38</v>
      </c>
      <c r="D67" s="78">
        <f t="shared" si="64"/>
        <v>2.3121387283236993E-2</v>
      </c>
      <c r="E67" s="79">
        <f t="shared" si="65"/>
        <v>1.7341040462427744E-2</v>
      </c>
      <c r="F67" s="79" t="str">
        <f t="shared" si="66"/>
        <v/>
      </c>
      <c r="G67" s="79" t="str">
        <f t="shared" si="67"/>
        <v/>
      </c>
      <c r="H67" s="79">
        <f t="shared" si="68"/>
        <v>0.94594594594594594</v>
      </c>
      <c r="I67" s="79">
        <f t="shared" si="73"/>
        <v>1</v>
      </c>
      <c r="J67" s="79">
        <f t="shared" si="70"/>
        <v>0</v>
      </c>
      <c r="K67" s="80">
        <f t="shared" si="54"/>
        <v>0</v>
      </c>
      <c r="L67" s="133">
        <f>VLOOKUP($A67,'3. % потерянной выручки (1С)'!$A:$D,4,0)</f>
        <v>1.1000000000000001E-2</v>
      </c>
      <c r="M67" s="139">
        <f>IFERROR(VLOOKUP($A67,'1.1. Операторы (1С, Все ТА)'!$A:$G,4,0),"")</f>
        <v>74</v>
      </c>
      <c r="N67" s="136">
        <f>IFERROR(VLOOKUP($A67,'1.1. Операторы (1С, Все ТА)'!$A:$G,5,0),"")</f>
        <v>70</v>
      </c>
      <c r="O67" s="136">
        <f>IFERROR(VLOOKUP($A67,'1.1. Операторы (1С, Все ТА)'!$A:$G,7,0),"")</f>
        <v>70</v>
      </c>
      <c r="P67" s="91">
        <f t="shared" si="71"/>
        <v>70</v>
      </c>
      <c r="Q67" s="136">
        <f>IFERROR(VLOOKUP($A67,'1.1. Операторы (1С, Все ТА)'!$A:$G,6,0),"")</f>
        <v>70</v>
      </c>
      <c r="S67" s="139">
        <f>IFERROR(VLOOKUP($A67,'1.2. Операторы (1С, КУ)'!$A:$G,4,0),"")</f>
        <v>9</v>
      </c>
      <c r="T67" s="136">
        <f>IFERROR(VLOOKUP($A67,'1.2. Операторы (1С, КУ)'!$A:$G,5,0),"")</f>
        <v>9</v>
      </c>
      <c r="U67" s="136">
        <f>IFERROR(VLOOKUP($A67,'1.2. Операторы (1С, КУ)'!$A:$G,7,0),"")</f>
        <v>9</v>
      </c>
      <c r="V67" s="91">
        <f t="shared" si="72"/>
        <v>9</v>
      </c>
      <c r="W67" s="136">
        <f>IFERROR(VLOOKUP($A67,'1.2. Операторы (1С, КУ)'!$A:$G,6,0),"")</f>
        <v>9</v>
      </c>
      <c r="Y67" s="136" t="str">
        <f>IFERROR(VLOOKUP($A67,'2. Техники (1С)'!$A:$E,4,0),"")</f>
        <v/>
      </c>
      <c r="Z67" s="142">
        <f>IFERROR(VLOOKUP($A67,'2. Техники (1С)'!$A:$E,5,0),"")</f>
        <v>6</v>
      </c>
      <c r="AA67" s="119">
        <f>IFERROR(VLOOKUP($A67,'6. Простои (Вин)'!$A:$D,4,0),0)</f>
        <v>6</v>
      </c>
      <c r="AB67" s="119">
        <f>IFERROR(VLOOKUP($A67,'5. ТА без связи (Вин)'!$A:$D,4,0),)</f>
        <v>8</v>
      </c>
      <c r="AC67" s="119">
        <f>VLOOKUP($A67,'4. Кол-во ТА (1С)'!$A:$E,5,0)</f>
        <v>346</v>
      </c>
    </row>
    <row r="68" spans="1:29" x14ac:dyDescent="0.25">
      <c r="A68" s="33" t="str">
        <f t="shared" si="63"/>
        <v>Самара44811</v>
      </c>
      <c r="B68" s="51">
        <v>44811</v>
      </c>
      <c r="C68" s="32" t="s">
        <v>9</v>
      </c>
      <c r="D68" s="78">
        <f t="shared" si="64"/>
        <v>1.7676767676767676E-2</v>
      </c>
      <c r="E68" s="79">
        <f t="shared" si="65"/>
        <v>2.5252525252525255E-3</v>
      </c>
      <c r="F68" s="79" t="str">
        <f t="shared" si="66"/>
        <v/>
      </c>
      <c r="G68" s="79" t="str">
        <f t="shared" si="67"/>
        <v/>
      </c>
      <c r="H68" s="79">
        <f t="shared" si="68"/>
        <v>0.93548387096774188</v>
      </c>
      <c r="I68" s="79">
        <f t="shared" si="73"/>
        <v>0.83333333333333337</v>
      </c>
      <c r="J68" s="79">
        <f t="shared" si="70"/>
        <v>0</v>
      </c>
      <c r="K68" s="80">
        <f t="shared" si="54"/>
        <v>0</v>
      </c>
      <c r="L68" s="133">
        <f>VLOOKUP($A68,'3. % потерянной выручки (1С)'!$A:$D,4,0)</f>
        <v>8.0000000000000002E-3</v>
      </c>
      <c r="M68" s="139">
        <f>IFERROR(VLOOKUP($A68,'1.1. Операторы (1С, Все ТА)'!$A:$G,4,0),"")</f>
        <v>62</v>
      </c>
      <c r="N68" s="136">
        <f>IFERROR(VLOOKUP($A68,'1.1. Операторы (1С, Все ТА)'!$A:$G,5,0),"")</f>
        <v>58</v>
      </c>
      <c r="O68" s="136">
        <f>IFERROR(VLOOKUP($A68,'1.1. Операторы (1С, Все ТА)'!$A:$G,7,0),"")</f>
        <v>58</v>
      </c>
      <c r="P68" s="91">
        <f t="shared" si="71"/>
        <v>58</v>
      </c>
      <c r="Q68" s="136">
        <f>IFERROR(VLOOKUP($A68,'1.1. Операторы (1С, Все ТА)'!$A:$G,6,0),"")</f>
        <v>58</v>
      </c>
      <c r="S68" s="139">
        <f>IFERROR(VLOOKUP($A68,'1.2. Операторы (1С, КУ)'!$A:$G,4,0),"")</f>
        <v>12</v>
      </c>
      <c r="T68" s="136">
        <f>IFERROR(VLOOKUP($A68,'1.2. Операторы (1С, КУ)'!$A:$G,5,0),"")</f>
        <v>10</v>
      </c>
      <c r="U68" s="136">
        <f>IFERROR(VLOOKUP($A68,'1.2. Операторы (1С, КУ)'!$A:$G,7,0),"")</f>
        <v>10</v>
      </c>
      <c r="V68" s="91">
        <f t="shared" si="72"/>
        <v>10</v>
      </c>
      <c r="W68" s="136">
        <f>IFERROR(VLOOKUP($A68,'1.2. Операторы (1С, КУ)'!$A:$G,6,0),"")</f>
        <v>10</v>
      </c>
      <c r="Y68" s="136">
        <f>IFERROR(VLOOKUP($A68,'2. Техники (1С)'!$A:$E,4,0),"")</f>
        <v>3</v>
      </c>
      <c r="Z68" s="142">
        <f>IFERROR(VLOOKUP($A68,'2. Техники (1С)'!$A:$E,5,0),"")</f>
        <v>3</v>
      </c>
      <c r="AA68" s="119">
        <f>IFERROR(VLOOKUP($A68,'6. Простои (Вин)'!$A:$D,4,0),0)</f>
        <v>1</v>
      </c>
      <c r="AB68" s="119">
        <f>IFERROR(VLOOKUP($A68,'5. ТА без связи (Вин)'!$A:$D,4,0),)</f>
        <v>7</v>
      </c>
      <c r="AC68" s="119">
        <f>VLOOKUP($A68,'4. Кол-во ТА (1С)'!$A:$E,5,0)</f>
        <v>396</v>
      </c>
    </row>
    <row r="69" spans="1:29" x14ac:dyDescent="0.25">
      <c r="A69" s="33" t="str">
        <f t="shared" si="63"/>
        <v>Саратов44811</v>
      </c>
      <c r="B69" s="51">
        <v>44811</v>
      </c>
      <c r="C69" s="32" t="s">
        <v>10</v>
      </c>
      <c r="D69" s="78">
        <f t="shared" si="64"/>
        <v>8.771929824561403E-3</v>
      </c>
      <c r="E69" s="79">
        <f t="shared" si="65"/>
        <v>2.9239766081871343E-3</v>
      </c>
      <c r="F69" s="79" t="str">
        <f t="shared" si="66"/>
        <v/>
      </c>
      <c r="G69" s="79" t="str">
        <f t="shared" si="67"/>
        <v/>
      </c>
      <c r="H69" s="79">
        <f t="shared" si="68"/>
        <v>0.75</v>
      </c>
      <c r="I69" s="79">
        <f t="shared" si="73"/>
        <v>0.88888888888888884</v>
      </c>
      <c r="J69" s="79">
        <f t="shared" si="70"/>
        <v>3.8461538461538436E-2</v>
      </c>
      <c r="K69" s="80">
        <f t="shared" si="54"/>
        <v>3.8461538461538436E-2</v>
      </c>
      <c r="L69" s="133">
        <f>VLOOKUP($A69,'3. % потерянной выручки (1С)'!$A:$D,4,0)</f>
        <v>0.01</v>
      </c>
      <c r="M69" s="139">
        <f>IFERROR(VLOOKUP($A69,'1.1. Операторы (1С, Все ТА)'!$A:$G,4,0),"")</f>
        <v>48</v>
      </c>
      <c r="N69" s="136">
        <f>IFERROR(VLOOKUP($A69,'1.1. Операторы (1С, Все ТА)'!$A:$G,5,0),"")</f>
        <v>52</v>
      </c>
      <c r="O69" s="136">
        <f>IFERROR(VLOOKUP($A69,'1.1. Операторы (1С, Все ТА)'!$A:$G,7,0),"")</f>
        <v>36</v>
      </c>
      <c r="P69" s="91">
        <f t="shared" si="71"/>
        <v>50</v>
      </c>
      <c r="Q69" s="136">
        <f>IFERROR(VLOOKUP($A69,'1.1. Операторы (1С, Все ТА)'!$A:$G,6,0),"")</f>
        <v>50</v>
      </c>
      <c r="S69" s="139">
        <f>IFERROR(VLOOKUP($A69,'1.2. Операторы (1С, КУ)'!$A:$G,4,0),"")</f>
        <v>9</v>
      </c>
      <c r="T69" s="136">
        <f>IFERROR(VLOOKUP($A69,'1.2. Операторы (1С, КУ)'!$A:$G,5,0),"")</f>
        <v>13</v>
      </c>
      <c r="U69" s="136">
        <f>IFERROR(VLOOKUP($A69,'1.2. Операторы (1С, КУ)'!$A:$G,7,0),"")</f>
        <v>8</v>
      </c>
      <c r="V69" s="91">
        <f t="shared" si="72"/>
        <v>13</v>
      </c>
      <c r="W69" s="136">
        <f>IFERROR(VLOOKUP($A69,'1.2. Операторы (1С, КУ)'!$A:$G,6,0),"")</f>
        <v>13</v>
      </c>
      <c r="Y69" s="136" t="str">
        <f>IFERROR(VLOOKUP($A69,'2. Техники (1С)'!$A:$E,4,0),"")</f>
        <v/>
      </c>
      <c r="Z69" s="142">
        <f>IFERROR(VLOOKUP($A69,'2. Техники (1С)'!$A:$E,5,0),"")</f>
        <v>1</v>
      </c>
      <c r="AA69" s="119">
        <f>IFERROR(VLOOKUP($A69,'6. Простои (Вин)'!$A:$D,4,0),0)</f>
        <v>1</v>
      </c>
      <c r="AB69" s="119">
        <f>IFERROR(VLOOKUP($A69,'5. ТА без связи (Вин)'!$A:$D,4,0),)</f>
        <v>3</v>
      </c>
      <c r="AC69" s="119">
        <f>VLOOKUP($A69,'4. Кол-во ТА (1С)'!$A:$E,5,0)</f>
        <v>342</v>
      </c>
    </row>
    <row r="70" spans="1:29" x14ac:dyDescent="0.25">
      <c r="A70" s="33" t="str">
        <f t="shared" si="63"/>
        <v>Старый Оскол44811</v>
      </c>
      <c r="B70" s="51">
        <v>44811</v>
      </c>
      <c r="C70" s="32" t="s">
        <v>39</v>
      </c>
      <c r="D70" s="78">
        <f t="shared" si="64"/>
        <v>1.8518518518518517E-2</v>
      </c>
      <c r="E70" s="79">
        <f t="shared" si="65"/>
        <v>0</v>
      </c>
      <c r="F70" s="79" t="str">
        <f t="shared" si="66"/>
        <v/>
      </c>
      <c r="G70" s="79" t="str">
        <f t="shared" si="67"/>
        <v/>
      </c>
      <c r="H70" s="79">
        <f t="shared" si="68"/>
        <v>0.8214285714285714</v>
      </c>
      <c r="I70" s="79">
        <f t="shared" si="73"/>
        <v>1</v>
      </c>
      <c r="J70" s="79">
        <f t="shared" si="70"/>
        <v>4.166666666666663E-2</v>
      </c>
      <c r="K70" s="80">
        <f t="shared" si="54"/>
        <v>4.166666666666663E-2</v>
      </c>
      <c r="L70" s="133">
        <f>VLOOKUP($A70,'3. % потерянной выручки (1С)'!$A:$D,4,0)</f>
        <v>1.1000000000000001E-2</v>
      </c>
      <c r="M70" s="139">
        <f>IFERROR(VLOOKUP($A70,'1.1. Операторы (1С, Все ТА)'!$A:$G,4,0),"")</f>
        <v>28</v>
      </c>
      <c r="N70" s="136">
        <f>IFERROR(VLOOKUP($A70,'1.1. Операторы (1С, Все ТА)'!$A:$G,5,0),"")</f>
        <v>24</v>
      </c>
      <c r="O70" s="136">
        <f>IFERROR(VLOOKUP($A70,'1.1. Операторы (1С, Все ТА)'!$A:$G,7,0),"")</f>
        <v>23</v>
      </c>
      <c r="P70" s="91">
        <f t="shared" si="71"/>
        <v>23</v>
      </c>
      <c r="Q70" s="136">
        <f>IFERROR(VLOOKUP($A70,'1.1. Операторы (1С, Все ТА)'!$A:$G,6,0),"")</f>
        <v>23</v>
      </c>
      <c r="S70" s="139">
        <f>IFERROR(VLOOKUP($A70,'1.2. Операторы (1С, КУ)'!$A:$G,4,0),"")</f>
        <v>5</v>
      </c>
      <c r="T70" s="136">
        <f>IFERROR(VLOOKUP($A70,'1.2. Операторы (1С, КУ)'!$A:$G,5,0),"")</f>
        <v>5</v>
      </c>
      <c r="U70" s="136">
        <f>IFERROR(VLOOKUP($A70,'1.2. Операторы (1С, КУ)'!$A:$G,7,0),"")</f>
        <v>5</v>
      </c>
      <c r="V70" s="91">
        <f t="shared" si="72"/>
        <v>5</v>
      </c>
      <c r="W70" s="136">
        <f>IFERROR(VLOOKUP($A70,'1.2. Операторы (1С, КУ)'!$A:$G,6,0),"")</f>
        <v>5</v>
      </c>
      <c r="Y70" s="136" t="str">
        <f>IFERROR(VLOOKUP($A70,'2. Техники (1С)'!$A:$E,4,0),"")</f>
        <v/>
      </c>
      <c r="Z70" s="142">
        <f>IFERROR(VLOOKUP($A70,'2. Техники (1С)'!$A:$E,5,0),"")</f>
        <v>1</v>
      </c>
      <c r="AA70" s="119">
        <f>IFERROR(VLOOKUP($A70,'6. Простои (Вин)'!$A:$D,4,0),0)</f>
        <v>0</v>
      </c>
      <c r="AB70" s="119">
        <f>IFERROR(VLOOKUP($A70,'5. ТА без связи (Вин)'!$A:$D,4,0),)</f>
        <v>4</v>
      </c>
      <c r="AC70" s="119">
        <f>VLOOKUP($A70,'4. Кол-во ТА (1С)'!$A:$E,5,0)</f>
        <v>216</v>
      </c>
    </row>
    <row r="71" spans="1:29" x14ac:dyDescent="0.25">
      <c r="A71" s="33" t="str">
        <f t="shared" si="63"/>
        <v>Тольятти44811</v>
      </c>
      <c r="B71" s="51">
        <v>44811</v>
      </c>
      <c r="C71" s="32" t="s">
        <v>11</v>
      </c>
      <c r="D71" s="78">
        <f t="shared" si="64"/>
        <v>1.0869565217391304E-2</v>
      </c>
      <c r="E71" s="79">
        <f t="shared" si="65"/>
        <v>0</v>
      </c>
      <c r="F71" s="79" t="str">
        <f t="shared" si="66"/>
        <v/>
      </c>
      <c r="G71" s="79" t="str">
        <f t="shared" si="67"/>
        <v/>
      </c>
      <c r="H71" s="79">
        <f t="shared" si="68"/>
        <v>0.9</v>
      </c>
      <c r="I71" s="79">
        <f t="shared" si="73"/>
        <v>1</v>
      </c>
      <c r="J71" s="79">
        <f t="shared" si="70"/>
        <v>5.2631578947368474E-2</v>
      </c>
      <c r="K71" s="80">
        <f t="shared" si="54"/>
        <v>5.2631578947368474E-2</v>
      </c>
      <c r="L71" s="133">
        <f>VLOOKUP($A71,'3. % потерянной выручки (1С)'!$A:$D,4,0)</f>
        <v>1.2E-2</v>
      </c>
      <c r="M71" s="139">
        <f>IFERROR(VLOOKUP($A71,'1.1. Операторы (1С, Все ТА)'!$A:$G,4,0),"")</f>
        <v>20</v>
      </c>
      <c r="N71" s="136">
        <f>IFERROR(VLOOKUP($A71,'1.1. Операторы (1С, Все ТА)'!$A:$G,5,0),"")</f>
        <v>19</v>
      </c>
      <c r="O71" s="136">
        <f>IFERROR(VLOOKUP($A71,'1.1. Операторы (1С, Все ТА)'!$A:$G,7,0),"")</f>
        <v>18</v>
      </c>
      <c r="P71" s="91">
        <f t="shared" si="71"/>
        <v>18</v>
      </c>
      <c r="Q71" s="136">
        <f>IFERROR(VLOOKUP($A71,'1.1. Операторы (1С, Все ТА)'!$A:$G,6,0),"")</f>
        <v>18</v>
      </c>
      <c r="S71" s="139">
        <f>IFERROR(VLOOKUP($A71,'1.2. Операторы (1С, КУ)'!$A:$G,4,0),"")</f>
        <v>8</v>
      </c>
      <c r="T71" s="136">
        <f>IFERROR(VLOOKUP($A71,'1.2. Операторы (1С, КУ)'!$A:$G,5,0),"")</f>
        <v>9</v>
      </c>
      <c r="U71" s="136">
        <f>IFERROR(VLOOKUP($A71,'1.2. Операторы (1С, КУ)'!$A:$G,7,0),"")</f>
        <v>8</v>
      </c>
      <c r="V71" s="91">
        <f t="shared" si="72"/>
        <v>9</v>
      </c>
      <c r="W71" s="136">
        <f>IFERROR(VLOOKUP($A71,'1.2. Операторы (1С, КУ)'!$A:$G,6,0),"")</f>
        <v>9</v>
      </c>
      <c r="Y71" s="136" t="str">
        <f>IFERROR(VLOOKUP($A71,'2. Техники (1С)'!$A:$E,4,0),"")</f>
        <v/>
      </c>
      <c r="Z71" s="142" t="str">
        <f>IFERROR(VLOOKUP($A71,'2. Техники (1С)'!$A:$E,5,0),"")</f>
        <v/>
      </c>
      <c r="AA71" s="119">
        <f>IFERROR(VLOOKUP($A71,'6. Простои (Вин)'!$A:$D,4,0),0)</f>
        <v>0</v>
      </c>
      <c r="AB71" s="119">
        <f>IFERROR(VLOOKUP($A71,'5. ТА без связи (Вин)'!$A:$D,4,0),)</f>
        <v>2</v>
      </c>
      <c r="AC71" s="119">
        <f>VLOOKUP($A71,'4. Кол-во ТА (1С)'!$A:$E,5,0)</f>
        <v>184</v>
      </c>
    </row>
    <row r="72" spans="1:29" x14ac:dyDescent="0.25">
      <c r="A72" s="33" t="str">
        <f t="shared" si="63"/>
        <v>Тула44811</v>
      </c>
      <c r="B72" s="51">
        <v>44811</v>
      </c>
      <c r="C72" s="32" t="s">
        <v>12</v>
      </c>
      <c r="D72" s="78">
        <f t="shared" si="64"/>
        <v>4.0590405904059039E-2</v>
      </c>
      <c r="E72" s="79">
        <f t="shared" si="65"/>
        <v>1.107011070110701E-2</v>
      </c>
      <c r="F72" s="79" t="str">
        <f t="shared" si="66"/>
        <v/>
      </c>
      <c r="G72" s="79" t="str">
        <f t="shared" si="67"/>
        <v/>
      </c>
      <c r="H72" s="79">
        <f t="shared" si="68"/>
        <v>0.80645161290322576</v>
      </c>
      <c r="I72" s="79">
        <f t="shared" si="73"/>
        <v>1</v>
      </c>
      <c r="J72" s="79">
        <f t="shared" si="70"/>
        <v>3.8461538461538436E-2</v>
      </c>
      <c r="K72" s="80">
        <f t="shared" si="54"/>
        <v>3.8461538461538436E-2</v>
      </c>
      <c r="L72" s="133">
        <f>VLOOKUP($A72,'3. % потерянной выручки (1С)'!$A:$D,4,0)</f>
        <v>1.3999999999999999E-2</v>
      </c>
      <c r="M72" s="139">
        <f>IFERROR(VLOOKUP($A72,'1.1. Операторы (1С, Все ТА)'!$A:$G,4,0),"")</f>
        <v>31</v>
      </c>
      <c r="N72" s="136">
        <f>IFERROR(VLOOKUP($A72,'1.1. Операторы (1С, Все ТА)'!$A:$G,5,0),"")</f>
        <v>26</v>
      </c>
      <c r="O72" s="136">
        <f>IFERROR(VLOOKUP($A72,'1.1. Операторы (1С, Все ТА)'!$A:$G,7,0),"")</f>
        <v>25</v>
      </c>
      <c r="P72" s="91">
        <f t="shared" si="71"/>
        <v>25</v>
      </c>
      <c r="Q72" s="136">
        <f>IFERROR(VLOOKUP($A72,'1.1. Операторы (1С, Все ТА)'!$A:$G,6,0),"")</f>
        <v>25</v>
      </c>
      <c r="S72" s="139">
        <f>IFERROR(VLOOKUP($A72,'1.2. Операторы (1С, КУ)'!$A:$G,4,0),"")</f>
        <v>3</v>
      </c>
      <c r="T72" s="136">
        <f>IFERROR(VLOOKUP($A72,'1.2. Операторы (1С, КУ)'!$A:$G,5,0),"")</f>
        <v>4</v>
      </c>
      <c r="U72" s="136">
        <f>IFERROR(VLOOKUP($A72,'1.2. Операторы (1С, КУ)'!$A:$G,7,0),"")</f>
        <v>3</v>
      </c>
      <c r="V72" s="91">
        <f t="shared" si="72"/>
        <v>4</v>
      </c>
      <c r="W72" s="136">
        <f>IFERROR(VLOOKUP($A72,'1.2. Операторы (1С, КУ)'!$A:$G,6,0),"")</f>
        <v>4</v>
      </c>
      <c r="Y72" s="136" t="str">
        <f>IFERROR(VLOOKUP($A72,'2. Техники (1С)'!$A:$E,4,0),"")</f>
        <v/>
      </c>
      <c r="Z72" s="142" t="str">
        <f>IFERROR(VLOOKUP($A72,'2. Техники (1С)'!$A:$E,5,0),"")</f>
        <v/>
      </c>
      <c r="AA72" s="119">
        <f>IFERROR(VLOOKUP($A72,'6. Простои (Вин)'!$A:$D,4,0),0)</f>
        <v>3</v>
      </c>
      <c r="AB72" s="119">
        <f>IFERROR(VLOOKUP($A72,'5. ТА без связи (Вин)'!$A:$D,4,0),)</f>
        <v>11</v>
      </c>
      <c r="AC72" s="119">
        <f>VLOOKUP($A72,'4. Кол-во ТА (1С)'!$A:$E,5,0)</f>
        <v>271</v>
      </c>
    </row>
    <row r="73" spans="1:29" x14ac:dyDescent="0.25">
      <c r="A73" s="33" t="str">
        <f t="shared" si="63"/>
        <v>Уфа44811</v>
      </c>
      <c r="B73" s="51">
        <v>44811</v>
      </c>
      <c r="C73" s="32" t="s">
        <v>13</v>
      </c>
      <c r="D73" s="78">
        <f t="shared" si="64"/>
        <v>1.9662921348314606E-2</v>
      </c>
      <c r="E73" s="79">
        <f t="shared" si="65"/>
        <v>5.6179775280898875E-3</v>
      </c>
      <c r="F73" s="79" t="str">
        <f t="shared" si="66"/>
        <v/>
      </c>
      <c r="G73" s="79" t="str">
        <f t="shared" si="67"/>
        <v/>
      </c>
      <c r="H73" s="79">
        <f t="shared" si="68"/>
        <v>1</v>
      </c>
      <c r="I73" s="79">
        <f t="shared" si="73"/>
        <v>1</v>
      </c>
      <c r="J73" s="79">
        <f t="shared" si="70"/>
        <v>1.3513513513513487E-2</v>
      </c>
      <c r="K73" s="80">
        <f t="shared" si="54"/>
        <v>1.3513513513513487E-2</v>
      </c>
      <c r="L73" s="133">
        <f>VLOOKUP($A73,'3. % потерянной выручки (1С)'!$A:$D,4,0)</f>
        <v>0.01</v>
      </c>
      <c r="M73" s="139">
        <f>IFERROR(VLOOKUP($A73,'1.1. Операторы (1С, Все ТА)'!$A:$G,4,0),"")</f>
        <v>70</v>
      </c>
      <c r="N73" s="136">
        <f>IFERROR(VLOOKUP($A73,'1.1. Операторы (1С, Все ТА)'!$A:$G,5,0),"")</f>
        <v>74</v>
      </c>
      <c r="O73" s="136">
        <f>IFERROR(VLOOKUP($A73,'1.1. Операторы (1С, Все ТА)'!$A:$G,7,0),"")</f>
        <v>70</v>
      </c>
      <c r="P73" s="91">
        <f t="shared" si="71"/>
        <v>73</v>
      </c>
      <c r="Q73" s="136">
        <f>IFERROR(VLOOKUP($A73,'1.1. Операторы (1С, Все ТА)'!$A:$G,6,0),"")</f>
        <v>73</v>
      </c>
      <c r="S73" s="139">
        <f>IFERROR(VLOOKUP($A73,'1.2. Операторы (1С, КУ)'!$A:$G,4,0),"")</f>
        <v>10</v>
      </c>
      <c r="T73" s="136">
        <f>IFERROR(VLOOKUP($A73,'1.2. Операторы (1С, КУ)'!$A:$G,5,0),"")</f>
        <v>12</v>
      </c>
      <c r="U73" s="136">
        <f>IFERROR(VLOOKUP($A73,'1.2. Операторы (1С, КУ)'!$A:$G,7,0),"")</f>
        <v>10</v>
      </c>
      <c r="V73" s="91">
        <f t="shared" si="72"/>
        <v>12</v>
      </c>
      <c r="W73" s="136">
        <f>IFERROR(VLOOKUP($A73,'1.2. Операторы (1С, КУ)'!$A:$G,6,0),"")</f>
        <v>12</v>
      </c>
      <c r="Y73" s="136">
        <f>IFERROR(VLOOKUP($A73,'2. Техники (1С)'!$A:$E,4,0),"")</f>
        <v>3</v>
      </c>
      <c r="Z73" s="142">
        <f>IFERROR(VLOOKUP($A73,'2. Техники (1С)'!$A:$E,5,0),"")</f>
        <v>1</v>
      </c>
      <c r="AA73" s="119">
        <f>IFERROR(VLOOKUP($A73,'6. Простои (Вин)'!$A:$D,4,0),0)</f>
        <v>2</v>
      </c>
      <c r="AB73" s="119">
        <f>IFERROR(VLOOKUP($A73,'5. ТА без связи (Вин)'!$A:$D,4,0),)</f>
        <v>7</v>
      </c>
      <c r="AC73" s="119">
        <f>VLOOKUP($A73,'4. Кол-во ТА (1С)'!$A:$E,5,0)</f>
        <v>356</v>
      </c>
    </row>
    <row r="74" spans="1:29" ht="15.75" thickBot="1" x14ac:dyDescent="0.3">
      <c r="A74" s="44" t="str">
        <f t="shared" si="63"/>
        <v>Ярославль44811</v>
      </c>
      <c r="B74" s="53">
        <v>44811</v>
      </c>
      <c r="C74" s="45" t="s">
        <v>14</v>
      </c>
      <c r="D74" s="81">
        <f t="shared" si="64"/>
        <v>1.8421052631578946E-2</v>
      </c>
      <c r="E74" s="82">
        <f t="shared" si="65"/>
        <v>2.631578947368421E-3</v>
      </c>
      <c r="F74" s="82" t="str">
        <f t="shared" si="66"/>
        <v/>
      </c>
      <c r="G74" s="82" t="str">
        <f t="shared" si="67"/>
        <v/>
      </c>
      <c r="H74" s="82">
        <f t="shared" si="68"/>
        <v>0.93506493506493504</v>
      </c>
      <c r="I74" s="82">
        <f t="shared" si="73"/>
        <v>0.94117647058823528</v>
      </c>
      <c r="J74" s="82">
        <f t="shared" si="70"/>
        <v>0</v>
      </c>
      <c r="K74" s="83">
        <f>IFERROR(1-Q74/N74,"")</f>
        <v>0</v>
      </c>
      <c r="L74" s="134">
        <f>VLOOKUP($A74,'3. % потерянной выручки (1С)'!$A:$D,4,0)</f>
        <v>0.01</v>
      </c>
      <c r="M74" s="140">
        <f>IFERROR(VLOOKUP($A74,'1.1. Операторы (1С, Все ТА)'!$A:$G,4,0),"")</f>
        <v>77</v>
      </c>
      <c r="N74" s="137">
        <f>IFERROR(VLOOKUP($A74,'1.1. Операторы (1С, Все ТА)'!$A:$G,5,0),"")</f>
        <v>72</v>
      </c>
      <c r="O74" s="137">
        <f>IFERROR(VLOOKUP($A74,'1.1. Операторы (1С, Все ТА)'!$A:$G,7,0),"")</f>
        <v>72</v>
      </c>
      <c r="P74" s="92">
        <f t="shared" si="71"/>
        <v>72</v>
      </c>
      <c r="Q74" s="137">
        <f>IFERROR(VLOOKUP($A74,'1.1. Операторы (1С, Все ТА)'!$A:$G,6,0),"")</f>
        <v>72</v>
      </c>
      <c r="R74" s="65"/>
      <c r="S74" s="140">
        <f>IFERROR(VLOOKUP($A74,'1.2. Операторы (1С, КУ)'!$A:$G,4,0),"")</f>
        <v>17</v>
      </c>
      <c r="T74" s="137">
        <f>IFERROR(VLOOKUP($A74,'1.2. Операторы (1С, КУ)'!$A:$G,5,0),"")</f>
        <v>16</v>
      </c>
      <c r="U74" s="137">
        <f>IFERROR(VLOOKUP($A74,'1.2. Операторы (1С, КУ)'!$A:$G,7,0),"")</f>
        <v>16</v>
      </c>
      <c r="V74" s="92">
        <f t="shared" si="72"/>
        <v>16</v>
      </c>
      <c r="W74" s="137">
        <f>IFERROR(VLOOKUP($A74,'1.2. Операторы (1С, КУ)'!$A:$G,6,0),"")</f>
        <v>16</v>
      </c>
      <c r="X74" s="65"/>
      <c r="Y74" s="137" t="str">
        <f>IFERROR(VLOOKUP($A74,'2. Техники (1С)'!$A:$E,4,0),"")</f>
        <v/>
      </c>
      <c r="Z74" s="143" t="str">
        <f>IFERROR(VLOOKUP($A74,'2. Техники (1С)'!$A:$E,5,0),"")</f>
        <v/>
      </c>
      <c r="AA74" s="120">
        <f>IFERROR(VLOOKUP($A74,'6. Простои (Вин)'!$A:$D,4,0),0)</f>
        <v>1</v>
      </c>
      <c r="AB74" s="120">
        <f>IFERROR(VLOOKUP($A74,'5. ТА без связи (Вин)'!$A:$D,4,0),)</f>
        <v>7</v>
      </c>
      <c r="AC74" s="120">
        <f>VLOOKUP($A74,'4. Кол-во ТА (1С)'!$A:$E,5,0)</f>
        <v>380</v>
      </c>
    </row>
    <row r="75" spans="1:29" ht="15.75" thickBot="1" x14ac:dyDescent="0.3">
      <c r="A75" s="49" t="str">
        <f t="shared" si="63"/>
        <v>ФС44811</v>
      </c>
      <c r="B75" s="54">
        <v>44811</v>
      </c>
      <c r="C75" s="46" t="s">
        <v>15</v>
      </c>
      <c r="D75" s="84">
        <f t="shared" si="64"/>
        <v>1.8442178346712954E-2</v>
      </c>
      <c r="E75" s="85">
        <f t="shared" si="65"/>
        <v>7.1599045346062056E-3</v>
      </c>
      <c r="F75" s="85" t="str">
        <f t="shared" si="66"/>
        <v/>
      </c>
      <c r="G75" s="85" t="str">
        <f t="shared" si="67"/>
        <v/>
      </c>
      <c r="H75" s="85">
        <f t="shared" si="68"/>
        <v>0.8571428571428571</v>
      </c>
      <c r="I75" s="85">
        <f>IFERROR(U75/S75,"")</f>
        <v>0.83628318584070793</v>
      </c>
      <c r="J75" s="86">
        <f t="shared" si="70"/>
        <v>4.3478260869565188E-2</v>
      </c>
      <c r="K75" s="87">
        <f t="shared" ref="K75" si="74">IFERROR(1-Q75/N75,"")</f>
        <v>4.3478260869565188E-2</v>
      </c>
      <c r="L75" s="63">
        <f>VLOOKUP($A75,'3. % потерянной выручки (1С)'!$A:$D,4,0)</f>
        <v>9.0000000000000011E-3</v>
      </c>
      <c r="M75" s="93">
        <f>SUM(M62:M74)</f>
        <v>784</v>
      </c>
      <c r="N75" s="94">
        <f>SUM(N62:N74)</f>
        <v>759</v>
      </c>
      <c r="O75" s="94">
        <f>SUM(O62:O74)</f>
        <v>672</v>
      </c>
      <c r="P75" s="94">
        <f t="shared" ref="P75" si="75">Q75+R75</f>
        <v>726</v>
      </c>
      <c r="Q75" s="94">
        <f>SUM(Q62:Q74)</f>
        <v>726</v>
      </c>
      <c r="R75" s="66">
        <f>SUM(R62:R74)</f>
        <v>0</v>
      </c>
      <c r="S75" s="93">
        <f>SUM(S62:S74)</f>
        <v>226</v>
      </c>
      <c r="T75" s="94">
        <f>SUM(T62:T74)</f>
        <v>207</v>
      </c>
      <c r="U75" s="94">
        <f>SUM(U62:U74)</f>
        <v>189</v>
      </c>
      <c r="V75" s="94">
        <f>W75+X75</f>
        <v>196</v>
      </c>
      <c r="W75" s="94">
        <f t="shared" ref="W75:AC75" si="76">SUM(W62:W74)</f>
        <v>196</v>
      </c>
      <c r="X75" s="66">
        <f t="shared" si="76"/>
        <v>0</v>
      </c>
      <c r="Y75" s="94">
        <f t="shared" si="76"/>
        <v>24</v>
      </c>
      <c r="Z75" s="99">
        <f t="shared" si="76"/>
        <v>29</v>
      </c>
      <c r="AA75" s="97">
        <f t="shared" si="76"/>
        <v>33</v>
      </c>
      <c r="AB75" s="97">
        <f t="shared" si="76"/>
        <v>85</v>
      </c>
      <c r="AC75" s="97">
        <f t="shared" si="76"/>
        <v>4609</v>
      </c>
    </row>
    <row r="76" spans="1:29" ht="15.75" thickTop="1" x14ac:dyDescent="0.25"/>
  </sheetData>
  <autoFilter ref="A3:AC3"/>
  <mergeCells count="4">
    <mergeCell ref="M1:R1"/>
    <mergeCell ref="S1:X1"/>
    <mergeCell ref="Y1:Z1"/>
    <mergeCell ref="AA1:A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1" r:id="rId4" name="Button 7">
              <controlPr defaultSize="0" print="0" autoFill="0" autoPict="0" macro="[0]!Выкладки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FO150"/>
  <sheetViews>
    <sheetView zoomScale="75" zoomScaleNormal="75" workbookViewId="0">
      <pane xSplit="1" ySplit="3" topLeftCell="B4" activePane="bottomRight" state="frozenSplit"/>
      <selection pane="topRight" activeCell="ER1" sqref="ER1"/>
      <selection pane="bottomLeft" activeCell="A4" sqref="A4"/>
      <selection pane="bottomRight" activeCell="A3" sqref="A3"/>
    </sheetView>
  </sheetViews>
  <sheetFormatPr defaultRowHeight="15" x14ac:dyDescent="0.25"/>
  <cols>
    <col min="1" max="1" width="42" style="158" customWidth="1"/>
    <col min="2" max="2" width="12.28515625" style="125" bestFit="1" customWidth="1"/>
    <col min="3" max="16384" width="9.140625" style="125"/>
  </cols>
  <sheetData>
    <row r="2" spans="1:171" x14ac:dyDescent="0.25">
      <c r="A2" s="148" t="s">
        <v>16</v>
      </c>
    </row>
    <row r="3" spans="1:171" ht="21" x14ac:dyDescent="0.25">
      <c r="A3" s="149" t="s">
        <v>15</v>
      </c>
    </row>
    <row r="4" spans="1:171" ht="56.25" x14ac:dyDescent="0.3">
      <c r="A4" s="150" t="s">
        <v>77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  <c r="EH4" s="151"/>
      <c r="EI4" s="151"/>
      <c r="EJ4" s="151"/>
      <c r="EK4" s="151"/>
      <c r="EL4" s="151"/>
      <c r="EM4" s="151"/>
      <c r="EN4" s="151"/>
      <c r="EO4" s="151"/>
      <c r="EP4" s="151"/>
      <c r="EQ4" s="151"/>
      <c r="ER4" s="151"/>
      <c r="ES4" s="15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1"/>
      <c r="FG4" s="151"/>
      <c r="FH4" s="151"/>
      <c r="FI4" s="151"/>
      <c r="FJ4" s="151"/>
      <c r="FK4" s="151"/>
      <c r="FL4" s="151"/>
      <c r="FM4" s="151"/>
      <c r="FN4" s="151"/>
      <c r="FO4" s="151"/>
    </row>
    <row r="5" spans="1:171" s="153" customFormat="1" x14ac:dyDescent="0.25">
      <c r="A5" s="152"/>
    </row>
    <row r="6" spans="1:171" s="153" customFormat="1" x14ac:dyDescent="0.25">
      <c r="A6" s="152"/>
    </row>
    <row r="7" spans="1:171" s="153" customFormat="1" x14ac:dyDescent="0.25">
      <c r="A7" s="152"/>
      <c r="B7" s="154"/>
      <c r="C7" s="154"/>
      <c r="D7" s="154"/>
    </row>
    <row r="8" spans="1:171" s="153" customFormat="1" x14ac:dyDescent="0.25">
      <c r="A8" s="152"/>
      <c r="B8" s="154"/>
      <c r="C8" s="154"/>
      <c r="D8" s="154"/>
    </row>
    <row r="9" spans="1:171" s="153" customFormat="1" x14ac:dyDescent="0.25">
      <c r="A9" s="152"/>
      <c r="B9" s="154"/>
      <c r="C9" s="154"/>
      <c r="D9" s="154"/>
    </row>
    <row r="10" spans="1:171" s="153" customFormat="1" x14ac:dyDescent="0.25">
      <c r="A10" s="152"/>
      <c r="B10" s="15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  <c r="BR10" s="155"/>
      <c r="BS10" s="155"/>
      <c r="BT10" s="155"/>
      <c r="BU10" s="155"/>
      <c r="BV10" s="155"/>
      <c r="BW10" s="155"/>
      <c r="BX10" s="155"/>
      <c r="BY10" s="155"/>
      <c r="BZ10" s="155"/>
      <c r="CA10" s="155"/>
      <c r="CB10" s="155"/>
      <c r="CC10" s="155"/>
      <c r="CD10" s="155"/>
      <c r="CE10" s="155"/>
      <c r="CF10" s="155"/>
      <c r="CG10" s="155"/>
      <c r="CH10" s="155"/>
      <c r="CI10" s="155"/>
      <c r="CJ10" s="155"/>
      <c r="CK10" s="155"/>
      <c r="CL10" s="155"/>
      <c r="CM10" s="155"/>
      <c r="CN10" s="155"/>
      <c r="CO10" s="155"/>
      <c r="CP10" s="155"/>
      <c r="CQ10" s="155"/>
      <c r="CR10" s="155"/>
      <c r="CS10" s="155"/>
      <c r="CT10" s="155"/>
      <c r="CU10" s="155"/>
      <c r="CV10" s="155"/>
      <c r="CW10" s="155"/>
      <c r="CX10" s="155"/>
      <c r="CY10" s="155"/>
      <c r="CZ10" s="155"/>
      <c r="DA10" s="155"/>
      <c r="DB10" s="155"/>
      <c r="DC10" s="155"/>
      <c r="DD10" s="155"/>
      <c r="DE10" s="155"/>
      <c r="DF10" s="155"/>
      <c r="DG10" s="155"/>
      <c r="DH10" s="155"/>
      <c r="DI10" s="155"/>
      <c r="DJ10" s="155"/>
      <c r="DK10" s="155"/>
      <c r="DL10" s="155"/>
      <c r="DM10" s="155"/>
      <c r="DN10" s="155"/>
      <c r="DO10" s="155"/>
    </row>
    <row r="11" spans="1:171" s="153" customFormat="1" x14ac:dyDescent="0.25">
      <c r="A11" s="152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</row>
    <row r="12" spans="1:171" x14ac:dyDescent="0.25">
      <c r="AH12" s="153"/>
    </row>
    <row r="13" spans="1:171" x14ac:dyDescent="0.25">
      <c r="AH13" s="153"/>
    </row>
    <row r="14" spans="1:171" x14ac:dyDescent="0.25">
      <c r="AH14" s="153"/>
    </row>
    <row r="15" spans="1:171" x14ac:dyDescent="0.25">
      <c r="AH15" s="153"/>
    </row>
    <row r="16" spans="1:171" x14ac:dyDescent="0.25">
      <c r="AH16" s="153"/>
    </row>
    <row r="17" spans="1:171" x14ac:dyDescent="0.25">
      <c r="AH17" s="153"/>
    </row>
    <row r="18" spans="1:171" x14ac:dyDescent="0.25">
      <c r="AH18" s="153"/>
    </row>
    <row r="19" spans="1:171" x14ac:dyDescent="0.25">
      <c r="AH19" s="153"/>
    </row>
    <row r="20" spans="1:171" x14ac:dyDescent="0.25">
      <c r="AH20" s="153"/>
    </row>
    <row r="21" spans="1:171" x14ac:dyDescent="0.25">
      <c r="AH21" s="153"/>
    </row>
    <row r="22" spans="1:171" x14ac:dyDescent="0.25">
      <c r="AH22" s="153"/>
    </row>
    <row r="23" spans="1:171" x14ac:dyDescent="0.25">
      <c r="AH23" s="153"/>
    </row>
    <row r="24" spans="1:171" x14ac:dyDescent="0.25">
      <c r="AH24" s="153"/>
    </row>
    <row r="25" spans="1:171" ht="37.5" x14ac:dyDescent="0.3">
      <c r="A25" s="156" t="s">
        <v>21</v>
      </c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157"/>
      <c r="BP25" s="157"/>
      <c r="BQ25" s="157"/>
      <c r="BR25" s="157"/>
      <c r="BS25" s="157"/>
      <c r="BT25" s="157"/>
      <c r="BU25" s="157"/>
      <c r="BV25" s="157"/>
      <c r="BW25" s="157"/>
      <c r="BX25" s="157"/>
      <c r="BY25" s="157"/>
      <c r="BZ25" s="157"/>
      <c r="CA25" s="157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7"/>
      <c r="DA25" s="157"/>
      <c r="DB25" s="157"/>
      <c r="DC25" s="157"/>
      <c r="DD25" s="157"/>
      <c r="DE25" s="157"/>
      <c r="DF25" s="157"/>
      <c r="DG25" s="157"/>
      <c r="DH25" s="157"/>
      <c r="DI25" s="157"/>
      <c r="DJ25" s="157"/>
      <c r="DK25" s="157"/>
      <c r="DL25" s="157"/>
      <c r="DM25" s="157"/>
      <c r="DN25" s="157"/>
      <c r="DO25" s="157"/>
      <c r="DP25" s="157"/>
      <c r="DQ25" s="157"/>
      <c r="DR25" s="157"/>
      <c r="DS25" s="157"/>
      <c r="DT25" s="157"/>
      <c r="DU25" s="157"/>
      <c r="DV25" s="157"/>
      <c r="DW25" s="157"/>
      <c r="DX25" s="157"/>
      <c r="DY25" s="157"/>
      <c r="DZ25" s="157"/>
      <c r="EA25" s="157"/>
      <c r="EB25" s="157"/>
      <c r="EC25" s="157"/>
      <c r="ED25" s="157"/>
      <c r="EE25" s="157"/>
      <c r="EF25" s="157"/>
      <c r="EG25" s="157"/>
      <c r="EH25" s="157"/>
      <c r="EI25" s="157"/>
      <c r="EJ25" s="157"/>
      <c r="EK25" s="157"/>
      <c r="EL25" s="157"/>
      <c r="EM25" s="157"/>
      <c r="EN25" s="157"/>
      <c r="EO25" s="157"/>
      <c r="EP25" s="157"/>
      <c r="EQ25" s="157"/>
      <c r="ER25" s="157"/>
      <c r="ES25" s="157"/>
      <c r="ET25" s="157"/>
      <c r="EU25" s="157"/>
      <c r="EV25" s="157"/>
      <c r="EW25" s="157"/>
      <c r="EX25" s="157"/>
      <c r="EY25" s="157"/>
      <c r="EZ25" s="157"/>
      <c r="FA25" s="157"/>
      <c r="FB25" s="157"/>
      <c r="FC25" s="157"/>
      <c r="FD25" s="157"/>
      <c r="FE25" s="157"/>
      <c r="FF25" s="157"/>
      <c r="FG25" s="157"/>
      <c r="FH25" s="157"/>
      <c r="FI25" s="157"/>
      <c r="FJ25" s="157"/>
      <c r="FK25" s="157"/>
      <c r="FL25" s="157"/>
      <c r="FM25" s="157"/>
      <c r="FN25" s="157"/>
      <c r="FO25" s="157"/>
    </row>
    <row r="26" spans="1:171" x14ac:dyDescent="0.25">
      <c r="AH26" s="153"/>
    </row>
    <row r="27" spans="1:171" x14ac:dyDescent="0.25">
      <c r="AH27" s="153"/>
    </row>
    <row r="28" spans="1:171" x14ac:dyDescent="0.25">
      <c r="AH28" s="153"/>
    </row>
    <row r="29" spans="1:171" x14ac:dyDescent="0.25">
      <c r="AH29" s="153"/>
    </row>
    <row r="30" spans="1:171" x14ac:dyDescent="0.25">
      <c r="AH30" s="153"/>
    </row>
    <row r="31" spans="1:171" x14ac:dyDescent="0.25">
      <c r="AH31" s="153"/>
    </row>
    <row r="32" spans="1:171" x14ac:dyDescent="0.25">
      <c r="AH32" s="153"/>
    </row>
    <row r="33" spans="1:171" x14ac:dyDescent="0.25">
      <c r="AH33" s="153"/>
    </row>
    <row r="34" spans="1:171" x14ac:dyDescent="0.25">
      <c r="AH34" s="153"/>
    </row>
    <row r="35" spans="1:171" x14ac:dyDescent="0.25">
      <c r="AH35" s="153"/>
    </row>
    <row r="36" spans="1:171" x14ac:dyDescent="0.25">
      <c r="AH36" s="153"/>
    </row>
    <row r="37" spans="1:171" x14ac:dyDescent="0.25">
      <c r="AH37" s="153"/>
    </row>
    <row r="38" spans="1:171" x14ac:dyDescent="0.25">
      <c r="AH38" s="153"/>
    </row>
    <row r="39" spans="1:171" x14ac:dyDescent="0.25">
      <c r="AH39" s="153"/>
    </row>
    <row r="40" spans="1:171" x14ac:dyDescent="0.25">
      <c r="AH40" s="153"/>
    </row>
    <row r="41" spans="1:171" x14ac:dyDescent="0.25">
      <c r="AH41" s="153"/>
    </row>
    <row r="42" spans="1:171" x14ac:dyDescent="0.25">
      <c r="AH42" s="153"/>
    </row>
    <row r="43" spans="1:171" x14ac:dyDescent="0.25">
      <c r="AH43" s="153"/>
    </row>
    <row r="44" spans="1:171" x14ac:dyDescent="0.25">
      <c r="AH44" s="153"/>
    </row>
    <row r="45" spans="1:171" x14ac:dyDescent="0.25">
      <c r="AH45" s="153"/>
    </row>
    <row r="46" spans="1:171" ht="39" customHeight="1" x14ac:dyDescent="0.3">
      <c r="A46" s="159" t="s">
        <v>80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160"/>
      <c r="AO46" s="160"/>
      <c r="AP46" s="160"/>
      <c r="AQ46" s="160"/>
      <c r="AR46" s="160"/>
      <c r="AS46" s="160"/>
      <c r="AT46" s="160"/>
      <c r="AU46" s="160"/>
      <c r="AV46" s="160"/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0"/>
      <c r="CO46" s="160"/>
      <c r="CP46" s="160"/>
      <c r="CQ46" s="160"/>
      <c r="CR46" s="160"/>
      <c r="CS46" s="160"/>
      <c r="CT46" s="160"/>
      <c r="CU46" s="160"/>
      <c r="CV46" s="160"/>
      <c r="CW46" s="160"/>
      <c r="CX46" s="160"/>
      <c r="CY46" s="160"/>
      <c r="CZ46" s="160"/>
      <c r="DA46" s="160"/>
      <c r="DB46" s="160"/>
      <c r="DC46" s="160"/>
      <c r="DD46" s="160"/>
      <c r="DE46" s="160"/>
      <c r="DF46" s="160"/>
      <c r="DG46" s="160"/>
      <c r="DH46" s="160"/>
      <c r="DI46" s="160"/>
      <c r="DJ46" s="160"/>
      <c r="DK46" s="160"/>
      <c r="DL46" s="160"/>
      <c r="DM46" s="160"/>
      <c r="DN46" s="160"/>
      <c r="DO46" s="160"/>
      <c r="DP46" s="160"/>
      <c r="DQ46" s="160"/>
      <c r="DR46" s="160"/>
      <c r="DS46" s="160"/>
      <c r="DT46" s="160"/>
      <c r="DU46" s="160"/>
      <c r="DV46" s="160"/>
      <c r="DW46" s="160"/>
      <c r="DX46" s="160"/>
      <c r="DY46" s="160"/>
      <c r="DZ46" s="160"/>
      <c r="EA46" s="160"/>
      <c r="EB46" s="160"/>
      <c r="EC46" s="160"/>
      <c r="ED46" s="160"/>
      <c r="EE46" s="160"/>
      <c r="EF46" s="160"/>
      <c r="EG46" s="160"/>
      <c r="EH46" s="160"/>
      <c r="EI46" s="160"/>
      <c r="EJ46" s="160"/>
      <c r="EK46" s="160"/>
      <c r="EL46" s="160"/>
      <c r="EM46" s="160"/>
      <c r="EN46" s="160"/>
      <c r="EO46" s="160"/>
      <c r="EP46" s="160"/>
      <c r="EQ46" s="160"/>
      <c r="ER46" s="160"/>
      <c r="ES46" s="160"/>
      <c r="ET46" s="160"/>
      <c r="EU46" s="160"/>
      <c r="EV46" s="160"/>
      <c r="EW46" s="160"/>
      <c r="EX46" s="160"/>
      <c r="EY46" s="160"/>
      <c r="EZ46" s="160"/>
      <c r="FA46" s="160"/>
      <c r="FB46" s="160"/>
      <c r="FC46" s="160"/>
      <c r="FD46" s="160"/>
      <c r="FE46" s="160"/>
      <c r="FF46" s="160"/>
      <c r="FG46" s="160"/>
      <c r="FH46" s="160"/>
      <c r="FI46" s="160"/>
      <c r="FJ46" s="160"/>
      <c r="FK46" s="160"/>
      <c r="FL46" s="160"/>
      <c r="FM46" s="160"/>
      <c r="FN46" s="160"/>
      <c r="FO46" s="160"/>
    </row>
    <row r="47" spans="1:171" x14ac:dyDescent="0.25">
      <c r="AH47" s="153"/>
    </row>
    <row r="48" spans="1:171" x14ac:dyDescent="0.25">
      <c r="AH48" s="153"/>
    </row>
    <row r="49" spans="34:34" x14ac:dyDescent="0.25">
      <c r="AH49" s="153"/>
    </row>
    <row r="50" spans="34:34" x14ac:dyDescent="0.25">
      <c r="AH50" s="153"/>
    </row>
    <row r="51" spans="34:34" x14ac:dyDescent="0.25">
      <c r="AH51" s="153"/>
    </row>
    <row r="52" spans="34:34" x14ac:dyDescent="0.25">
      <c r="AH52" s="153"/>
    </row>
    <row r="53" spans="34:34" x14ac:dyDescent="0.25">
      <c r="AH53" s="153"/>
    </row>
    <row r="54" spans="34:34" x14ac:dyDescent="0.25">
      <c r="AH54" s="153"/>
    </row>
    <row r="55" spans="34:34" x14ac:dyDescent="0.25">
      <c r="AH55" s="153"/>
    </row>
    <row r="56" spans="34:34" x14ac:dyDescent="0.25">
      <c r="AH56" s="153"/>
    </row>
    <row r="57" spans="34:34" x14ac:dyDescent="0.25">
      <c r="AH57" s="153"/>
    </row>
    <row r="58" spans="34:34" x14ac:dyDescent="0.25">
      <c r="AH58" s="153"/>
    </row>
    <row r="59" spans="34:34" x14ac:dyDescent="0.25">
      <c r="AH59" s="153"/>
    </row>
    <row r="60" spans="34:34" x14ac:dyDescent="0.25">
      <c r="AH60" s="153"/>
    </row>
    <row r="61" spans="34:34" x14ac:dyDescent="0.25">
      <c r="AH61" s="153"/>
    </row>
    <row r="62" spans="34:34" x14ac:dyDescent="0.25">
      <c r="AH62" s="153"/>
    </row>
    <row r="63" spans="34:34" x14ac:dyDescent="0.25">
      <c r="AH63" s="153"/>
    </row>
    <row r="64" spans="34:34" x14ac:dyDescent="0.25">
      <c r="AH64" s="153"/>
    </row>
    <row r="65" spans="1:171" x14ac:dyDescent="0.25">
      <c r="AH65" s="153"/>
    </row>
    <row r="66" spans="1:171" x14ac:dyDescent="0.25">
      <c r="AH66" s="153"/>
    </row>
    <row r="67" spans="1:171" ht="56.25" x14ac:dyDescent="0.3">
      <c r="A67" s="161" t="s">
        <v>18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</row>
    <row r="83" spans="1:171" ht="12" customHeight="1" x14ac:dyDescent="0.25"/>
    <row r="88" spans="1:171" ht="37.5" x14ac:dyDescent="0.3">
      <c r="A88" s="163" t="s">
        <v>30</v>
      </c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164"/>
      <c r="AG88" s="164"/>
      <c r="AH88" s="164"/>
      <c r="AI88" s="164"/>
      <c r="AJ88" s="164"/>
      <c r="AK88" s="164"/>
      <c r="AL88" s="164"/>
      <c r="AM88" s="164"/>
      <c r="AN88" s="164"/>
      <c r="AO88" s="164"/>
      <c r="AP88" s="164"/>
      <c r="AQ88" s="164"/>
      <c r="AR88" s="164"/>
      <c r="AS88" s="164"/>
      <c r="AT88" s="164"/>
      <c r="AU88" s="164"/>
      <c r="AV88" s="164"/>
      <c r="AW88" s="164"/>
      <c r="AX88" s="164"/>
      <c r="AY88" s="164"/>
      <c r="AZ88" s="164"/>
      <c r="BA88" s="164"/>
      <c r="BB88" s="164"/>
      <c r="BC88" s="164"/>
      <c r="BD88" s="164"/>
      <c r="BE88" s="164"/>
      <c r="BF88" s="164"/>
      <c r="BG88" s="164"/>
      <c r="BH88" s="164"/>
      <c r="BI88" s="164"/>
      <c r="BJ88" s="164"/>
      <c r="BK88" s="164"/>
      <c r="BL88" s="164"/>
      <c r="BM88" s="164"/>
      <c r="BN88" s="164"/>
      <c r="BO88" s="164"/>
      <c r="BP88" s="164"/>
      <c r="BQ88" s="164"/>
      <c r="BR88" s="164"/>
      <c r="BS88" s="164"/>
      <c r="BT88" s="164"/>
      <c r="BU88" s="164"/>
      <c r="BV88" s="164"/>
      <c r="BW88" s="164"/>
      <c r="BX88" s="164"/>
      <c r="BY88" s="164"/>
      <c r="BZ88" s="164"/>
      <c r="CA88" s="164"/>
      <c r="CB88" s="164"/>
      <c r="CC88" s="164"/>
      <c r="CD88" s="164"/>
      <c r="CE88" s="164"/>
      <c r="CF88" s="164"/>
      <c r="CG88" s="164"/>
      <c r="CH88" s="164"/>
      <c r="CI88" s="164"/>
      <c r="CJ88" s="164"/>
      <c r="CK88" s="164"/>
      <c r="CL88" s="164"/>
      <c r="CM88" s="164"/>
      <c r="CN88" s="164"/>
      <c r="CO88" s="164"/>
      <c r="CP88" s="164"/>
      <c r="CQ88" s="164"/>
      <c r="CR88" s="164"/>
      <c r="CS88" s="164"/>
      <c r="CT88" s="164"/>
      <c r="CU88" s="164"/>
      <c r="CV88" s="164"/>
      <c r="CW88" s="164"/>
      <c r="CX88" s="164"/>
      <c r="CY88" s="164"/>
      <c r="CZ88" s="164"/>
      <c r="DA88" s="164"/>
      <c r="DB88" s="164"/>
      <c r="DC88" s="164"/>
      <c r="DD88" s="164"/>
      <c r="DE88" s="164"/>
      <c r="DF88" s="164"/>
      <c r="DG88" s="164"/>
      <c r="DH88" s="164"/>
      <c r="DI88" s="164"/>
      <c r="DJ88" s="164"/>
      <c r="DK88" s="164"/>
      <c r="DL88" s="164"/>
      <c r="DM88" s="164"/>
      <c r="DN88" s="164"/>
      <c r="DO88" s="164"/>
      <c r="DP88" s="164"/>
      <c r="DQ88" s="164"/>
      <c r="DR88" s="164"/>
      <c r="DS88" s="164"/>
      <c r="DT88" s="164"/>
      <c r="DU88" s="164"/>
      <c r="DV88" s="164"/>
      <c r="DW88" s="164"/>
      <c r="DX88" s="164"/>
      <c r="DY88" s="164"/>
      <c r="DZ88" s="164"/>
      <c r="EA88" s="164"/>
      <c r="EB88" s="164"/>
      <c r="EC88" s="164"/>
      <c r="ED88" s="164"/>
      <c r="EE88" s="164"/>
      <c r="EF88" s="164"/>
      <c r="EG88" s="164"/>
      <c r="EH88" s="164"/>
      <c r="EI88" s="164"/>
      <c r="EJ88" s="164"/>
      <c r="EK88" s="164"/>
      <c r="EL88" s="164"/>
      <c r="EM88" s="164"/>
      <c r="EN88" s="164"/>
      <c r="EO88" s="164"/>
      <c r="EP88" s="164"/>
      <c r="EQ88" s="164"/>
      <c r="ER88" s="164"/>
      <c r="ES88" s="164"/>
      <c r="ET88" s="164"/>
      <c r="EU88" s="164"/>
      <c r="EV88" s="164"/>
      <c r="EW88" s="164"/>
      <c r="EX88" s="164"/>
      <c r="EY88" s="164"/>
      <c r="EZ88" s="164"/>
      <c r="FA88" s="164"/>
      <c r="FB88" s="164"/>
      <c r="FC88" s="164"/>
      <c r="FD88" s="164"/>
      <c r="FE88" s="164"/>
      <c r="FF88" s="164"/>
      <c r="FG88" s="164"/>
      <c r="FH88" s="164"/>
      <c r="FI88" s="164"/>
      <c r="FJ88" s="164"/>
      <c r="FK88" s="164"/>
      <c r="FL88" s="164"/>
      <c r="FM88" s="164"/>
      <c r="FN88" s="164"/>
      <c r="FO88" s="164"/>
    </row>
    <row r="109" spans="1:171" ht="37.5" x14ac:dyDescent="0.3">
      <c r="A109" s="165" t="s">
        <v>78</v>
      </c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6"/>
      <c r="CT109" s="166"/>
      <c r="CU109" s="166"/>
      <c r="CV109" s="166"/>
      <c r="CW109" s="166"/>
      <c r="CX109" s="166"/>
      <c r="CY109" s="166"/>
      <c r="CZ109" s="166"/>
      <c r="DA109" s="166"/>
      <c r="DB109" s="166"/>
      <c r="DC109" s="166"/>
      <c r="DD109" s="166"/>
      <c r="DE109" s="166"/>
      <c r="DF109" s="166"/>
      <c r="DG109" s="166"/>
      <c r="DH109" s="166"/>
      <c r="DI109" s="166"/>
      <c r="DJ109" s="166"/>
      <c r="DK109" s="166"/>
      <c r="DL109" s="166"/>
      <c r="DM109" s="166"/>
      <c r="DN109" s="166"/>
      <c r="DO109" s="166"/>
      <c r="DP109" s="166"/>
      <c r="DQ109" s="166"/>
      <c r="DR109" s="166"/>
      <c r="DS109" s="166"/>
      <c r="DT109" s="166"/>
      <c r="DU109" s="166"/>
      <c r="DV109" s="166"/>
      <c r="DW109" s="166"/>
      <c r="DX109" s="166"/>
      <c r="DY109" s="166"/>
      <c r="DZ109" s="166"/>
      <c r="EA109" s="166"/>
      <c r="EB109" s="166"/>
      <c r="EC109" s="166"/>
      <c r="ED109" s="166"/>
      <c r="EE109" s="166"/>
      <c r="EF109" s="166"/>
      <c r="EG109" s="166"/>
      <c r="EH109" s="166"/>
      <c r="EI109" s="166"/>
      <c r="EJ109" s="166"/>
      <c r="EK109" s="166"/>
      <c r="EL109" s="166"/>
      <c r="EM109" s="166"/>
      <c r="EN109" s="166"/>
      <c r="EO109" s="166"/>
      <c r="EP109" s="166"/>
      <c r="EQ109" s="166"/>
      <c r="ER109" s="166"/>
      <c r="ES109" s="166"/>
      <c r="ET109" s="166"/>
      <c r="EU109" s="166"/>
      <c r="EV109" s="166"/>
      <c r="EW109" s="166"/>
      <c r="EX109" s="166"/>
      <c r="EY109" s="166"/>
      <c r="EZ109" s="166"/>
      <c r="FA109" s="166"/>
      <c r="FB109" s="166"/>
      <c r="FC109" s="166"/>
      <c r="FD109" s="166"/>
      <c r="FE109" s="166"/>
      <c r="FF109" s="166"/>
      <c r="FG109" s="166"/>
      <c r="FH109" s="166"/>
      <c r="FI109" s="166"/>
      <c r="FJ109" s="166"/>
      <c r="FK109" s="166"/>
      <c r="FL109" s="166"/>
      <c r="FM109" s="166"/>
      <c r="FN109" s="166"/>
      <c r="FO109" s="166"/>
    </row>
    <row r="130" spans="1:171" s="171" customFormat="1" ht="39" customHeight="1" x14ac:dyDescent="0.3">
      <c r="A130" s="169" t="s">
        <v>83</v>
      </c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70"/>
      <c r="V130" s="170"/>
      <c r="W130" s="170"/>
      <c r="X130" s="170"/>
      <c r="Y130" s="170"/>
      <c r="Z130" s="170"/>
      <c r="AA130" s="170"/>
      <c r="AB130" s="170"/>
      <c r="AC130" s="170"/>
      <c r="AD130" s="170"/>
      <c r="AE130" s="170"/>
      <c r="AF130" s="170"/>
      <c r="AG130" s="170"/>
      <c r="AH130" s="170"/>
      <c r="AI130" s="170"/>
      <c r="AJ130" s="170"/>
      <c r="AK130" s="170"/>
      <c r="AL130" s="170"/>
      <c r="AM130" s="170"/>
      <c r="AN130" s="170"/>
      <c r="AO130" s="170"/>
      <c r="AP130" s="170"/>
      <c r="AQ130" s="170"/>
      <c r="AR130" s="170"/>
      <c r="AS130" s="170"/>
      <c r="AT130" s="170"/>
      <c r="AU130" s="170"/>
      <c r="AV130" s="170"/>
      <c r="AW130" s="170"/>
      <c r="AX130" s="17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0"/>
      <c r="BI130" s="170"/>
      <c r="BJ130" s="170"/>
      <c r="BK130" s="170"/>
      <c r="BL130" s="170"/>
      <c r="BM130" s="170"/>
      <c r="BN130" s="170"/>
      <c r="BO130" s="170"/>
      <c r="BP130" s="170"/>
      <c r="BQ130" s="170"/>
      <c r="BR130" s="170"/>
      <c r="BS130" s="170"/>
      <c r="BT130" s="170"/>
      <c r="BU130" s="170"/>
      <c r="BV130" s="170"/>
      <c r="BW130" s="170"/>
      <c r="BX130" s="170"/>
      <c r="BY130" s="170"/>
      <c r="BZ130" s="170"/>
      <c r="CA130" s="170"/>
      <c r="CB130" s="170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  <c r="CN130" s="170"/>
      <c r="CO130" s="170"/>
      <c r="CP130" s="170"/>
      <c r="CQ130" s="170"/>
      <c r="CR130" s="170"/>
      <c r="CS130" s="170"/>
      <c r="CT130" s="170"/>
      <c r="CU130" s="170"/>
      <c r="CV130" s="170"/>
      <c r="CW130" s="170"/>
      <c r="CX130" s="170"/>
      <c r="CY130" s="170"/>
      <c r="CZ130" s="170"/>
      <c r="DA130" s="170"/>
      <c r="DB130" s="170"/>
      <c r="DC130" s="170"/>
      <c r="DD130" s="170"/>
      <c r="DE130" s="170"/>
      <c r="DF130" s="170"/>
      <c r="DG130" s="170"/>
      <c r="DH130" s="170"/>
      <c r="DI130" s="170"/>
      <c r="DJ130" s="170"/>
      <c r="DK130" s="170"/>
      <c r="DL130" s="170"/>
      <c r="DM130" s="170"/>
      <c r="DN130" s="170"/>
      <c r="DO130" s="170"/>
      <c r="DP130" s="170"/>
      <c r="DQ130" s="170"/>
      <c r="DR130" s="170"/>
      <c r="DS130" s="170"/>
      <c r="DT130" s="170"/>
      <c r="DU130" s="170"/>
      <c r="DV130" s="170"/>
      <c r="DW130" s="170"/>
      <c r="DX130" s="170"/>
      <c r="DY130" s="170"/>
      <c r="DZ130" s="170"/>
      <c r="EA130" s="170"/>
      <c r="EB130" s="170"/>
      <c r="EC130" s="170"/>
      <c r="ED130" s="170"/>
      <c r="EE130" s="170"/>
      <c r="EF130" s="170"/>
      <c r="EG130" s="170"/>
      <c r="EH130" s="170"/>
      <c r="EI130" s="170"/>
      <c r="EJ130" s="170"/>
      <c r="EK130" s="170"/>
      <c r="EL130" s="170"/>
      <c r="EM130" s="170"/>
      <c r="EN130" s="170"/>
      <c r="EO130" s="170"/>
      <c r="EP130" s="170"/>
      <c r="EQ130" s="170"/>
      <c r="ER130" s="170"/>
      <c r="ES130" s="170"/>
      <c r="ET130" s="170"/>
      <c r="EU130" s="170"/>
      <c r="EV130" s="170"/>
      <c r="EW130" s="170"/>
      <c r="EX130" s="170"/>
      <c r="EY130" s="170"/>
      <c r="EZ130" s="170"/>
      <c r="FA130" s="170"/>
      <c r="FB130" s="170"/>
      <c r="FC130" s="170"/>
      <c r="FD130" s="170"/>
      <c r="FE130" s="170"/>
      <c r="FF130" s="170"/>
      <c r="FG130" s="170"/>
      <c r="FH130" s="170"/>
      <c r="FI130" s="170"/>
      <c r="FJ130" s="170"/>
      <c r="FK130" s="170"/>
      <c r="FL130" s="170"/>
      <c r="FM130" s="170"/>
      <c r="FN130" s="170"/>
      <c r="FO130" s="170"/>
    </row>
    <row r="131" spans="1:171" x14ac:dyDescent="0.25">
      <c r="AH131" s="153"/>
    </row>
    <row r="132" spans="1:171" x14ac:dyDescent="0.25">
      <c r="AH132" s="153"/>
    </row>
    <row r="133" spans="1:171" x14ac:dyDescent="0.25">
      <c r="AH133" s="153"/>
    </row>
    <row r="134" spans="1:171" x14ac:dyDescent="0.25">
      <c r="AH134" s="153"/>
    </row>
    <row r="135" spans="1:171" x14ac:dyDescent="0.25">
      <c r="AH135" s="153"/>
    </row>
    <row r="136" spans="1:171" x14ac:dyDescent="0.25">
      <c r="AH136" s="153"/>
    </row>
    <row r="137" spans="1:171" x14ac:dyDescent="0.25">
      <c r="AH137" s="153"/>
    </row>
    <row r="138" spans="1:171" x14ac:dyDescent="0.25">
      <c r="AH138" s="153"/>
    </row>
    <row r="139" spans="1:171" x14ac:dyDescent="0.25">
      <c r="AH139" s="153"/>
    </row>
    <row r="140" spans="1:171" x14ac:dyDescent="0.25">
      <c r="AH140" s="153"/>
    </row>
    <row r="141" spans="1:171" x14ac:dyDescent="0.25">
      <c r="AH141" s="153"/>
    </row>
    <row r="142" spans="1:171" x14ac:dyDescent="0.25">
      <c r="AH142" s="153"/>
    </row>
    <row r="143" spans="1:171" x14ac:dyDescent="0.25">
      <c r="AH143" s="153"/>
    </row>
    <row r="144" spans="1:171" x14ac:dyDescent="0.25">
      <c r="AH144" s="153"/>
    </row>
    <row r="145" spans="34:34" x14ac:dyDescent="0.25">
      <c r="AH145" s="153"/>
    </row>
    <row r="146" spans="34:34" x14ac:dyDescent="0.25">
      <c r="AH146" s="153"/>
    </row>
    <row r="147" spans="34:34" x14ac:dyDescent="0.25">
      <c r="AH147" s="153"/>
    </row>
    <row r="148" spans="34:34" x14ac:dyDescent="0.25">
      <c r="AH148" s="153"/>
    </row>
    <row r="149" spans="34:34" x14ac:dyDescent="0.25">
      <c r="AH149" s="153"/>
    </row>
    <row r="150" spans="34:34" x14ac:dyDescent="0.25">
      <c r="AH150" s="153"/>
    </row>
  </sheetData>
  <dataValidations count="1">
    <dataValidation type="list" allowBlank="1" showInputMessage="1" showErrorMessage="1" sqref="A3">
      <formula1>ОП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B050"/>
  </sheetPr>
  <dimension ref="A1:FO35"/>
  <sheetViews>
    <sheetView zoomScale="75" zoomScaleNormal="75" workbookViewId="0">
      <pane ySplit="3" topLeftCell="A4" activePane="bottomLeft" state="frozenSplit"/>
      <selection pane="bottomLeft"/>
    </sheetView>
  </sheetViews>
  <sheetFormatPr defaultRowHeight="15" x14ac:dyDescent="0.25"/>
  <cols>
    <col min="1" max="1" width="36.140625" customWidth="1"/>
    <col min="2" max="2" width="12.5703125" bestFit="1" customWidth="1"/>
    <col min="3" max="65" width="11.7109375" bestFit="1" customWidth="1"/>
    <col min="66" max="92" width="11.5703125" bestFit="1" customWidth="1"/>
  </cols>
  <sheetData>
    <row r="1" spans="1:171" x14ac:dyDescent="0.25">
      <c r="A1" s="144" t="s">
        <v>68</v>
      </c>
      <c r="B1" s="145">
        <v>44805</v>
      </c>
      <c r="C1" s="145">
        <v>44806</v>
      </c>
      <c r="D1" s="145">
        <v>44807</v>
      </c>
      <c r="E1" s="145">
        <v>44808</v>
      </c>
      <c r="F1" s="145">
        <v>44809</v>
      </c>
      <c r="G1" s="145">
        <v>44810</v>
      </c>
      <c r="H1" s="145">
        <v>44811</v>
      </c>
      <c r="I1" s="145">
        <v>44812</v>
      </c>
      <c r="J1" s="145">
        <v>44813</v>
      </c>
      <c r="K1" s="145">
        <v>44814</v>
      </c>
      <c r="L1" s="145">
        <v>44815</v>
      </c>
      <c r="M1" s="145">
        <v>44816</v>
      </c>
      <c r="N1" s="145">
        <v>44817</v>
      </c>
      <c r="O1" s="145">
        <v>44818</v>
      </c>
      <c r="P1" s="145">
        <v>44819</v>
      </c>
      <c r="Q1" s="145">
        <v>44820</v>
      </c>
      <c r="R1" s="145">
        <v>44821</v>
      </c>
      <c r="S1" s="145">
        <v>44822</v>
      </c>
      <c r="T1" s="145">
        <v>44823</v>
      </c>
      <c r="U1" s="145">
        <v>44824</v>
      </c>
      <c r="V1" s="145">
        <v>44825</v>
      </c>
      <c r="W1" s="145">
        <v>44826</v>
      </c>
      <c r="X1" s="145">
        <v>44827</v>
      </c>
      <c r="Y1" s="145">
        <v>44828</v>
      </c>
      <c r="Z1" s="145">
        <v>44829</v>
      </c>
      <c r="AA1" s="145">
        <v>44830</v>
      </c>
      <c r="AB1" s="145">
        <v>44831</v>
      </c>
      <c r="AC1" s="145">
        <v>44832</v>
      </c>
      <c r="AD1" s="145">
        <v>44833</v>
      </c>
      <c r="AE1" s="145">
        <v>44834</v>
      </c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</row>
    <row r="2" spans="1:171" x14ac:dyDescent="0.25">
      <c r="A2" s="2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</row>
    <row r="4" spans="1:171" ht="18.75" x14ac:dyDescent="0.3">
      <c r="B4" s="16" t="s">
        <v>77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</row>
    <row r="5" spans="1:171" s="38" customFormat="1" x14ac:dyDescent="0.25">
      <c r="A5" s="38" t="s">
        <v>20</v>
      </c>
      <c r="B5" s="39">
        <v>1.4999999999999999E-2</v>
      </c>
      <c r="C5" s="39">
        <v>1.4999999999999999E-2</v>
      </c>
      <c r="D5" s="39">
        <v>1.4999999999999999E-2</v>
      </c>
      <c r="E5" s="39">
        <v>1.4999999999999999E-2</v>
      </c>
      <c r="F5" s="39">
        <v>1.4999999999999999E-2</v>
      </c>
      <c r="G5" s="39">
        <v>1.4999999999999999E-2</v>
      </c>
      <c r="H5" s="39">
        <v>1.4999999999999999E-2</v>
      </c>
      <c r="I5" s="39">
        <v>1.4999999999999999E-2</v>
      </c>
      <c r="J5" s="39">
        <v>1.4999999999999999E-2</v>
      </c>
      <c r="K5" s="39">
        <v>1.4999999999999999E-2</v>
      </c>
      <c r="L5" s="39">
        <v>1.4999999999999999E-2</v>
      </c>
      <c r="M5" s="39">
        <v>1.4999999999999999E-2</v>
      </c>
      <c r="N5" s="39">
        <v>1.4999999999999999E-2</v>
      </c>
      <c r="O5" s="39">
        <v>1.4999999999999999E-2</v>
      </c>
      <c r="P5" s="39">
        <v>1.4999999999999999E-2</v>
      </c>
      <c r="Q5" s="39">
        <v>1.4999999999999999E-2</v>
      </c>
      <c r="R5" s="39">
        <v>1.4999999999999999E-2</v>
      </c>
      <c r="S5" s="39">
        <v>1.4999999999999999E-2</v>
      </c>
      <c r="T5" s="39">
        <v>1.4999999999999999E-2</v>
      </c>
      <c r="U5" s="39">
        <v>1.4999999999999999E-2</v>
      </c>
      <c r="V5" s="39">
        <v>1.4999999999999999E-2</v>
      </c>
      <c r="W5" s="39">
        <v>1.4999999999999999E-2</v>
      </c>
      <c r="X5" s="39">
        <v>1.4999999999999999E-2</v>
      </c>
      <c r="Y5" s="39">
        <v>1.4999999999999999E-2</v>
      </c>
      <c r="Z5" s="39">
        <v>1.4999999999999999E-2</v>
      </c>
      <c r="AA5" s="39">
        <v>1.4999999999999999E-2</v>
      </c>
      <c r="AB5" s="39">
        <v>1.4999999999999999E-2</v>
      </c>
      <c r="AC5" s="39">
        <v>1.4999999999999999E-2</v>
      </c>
      <c r="AD5" s="39">
        <v>1.4999999999999999E-2</v>
      </c>
      <c r="AE5" s="39">
        <v>1.4999999999999999E-2</v>
      </c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</row>
    <row r="6" spans="1:171" s="35" customFormat="1" x14ac:dyDescent="0.25">
      <c r="A6" s="35" t="s">
        <v>53</v>
      </c>
      <c r="B6" s="36">
        <f>IFERROR(VLOOKUP(CONCATENATE(ФС!$A$3,B1),'Источник Рейтинг'!$A:$AG,4,0),"")</f>
        <v>2.9901031796167613E-2</v>
      </c>
      <c r="C6" s="36">
        <f>IFERROR(VLOOKUP(CONCATENATE(ФС!$A$3,C1),'Источник Рейтинг'!$A:$AG,4,0),"")</f>
        <v>2.7351146644224701E-2</v>
      </c>
      <c r="D6" s="36" t="str">
        <f>IFERROR(VLOOKUP(CONCATENATE(ФС!$A$3,D1),'Источник Рейтинг'!$A:$AG,4,0),"")</f>
        <v/>
      </c>
      <c r="E6" s="36" t="str">
        <f>IFERROR(VLOOKUP(CONCATENATE(ФС!$A$3,E1),'Источник Рейтинг'!$A:$AG,4,0),"")</f>
        <v/>
      </c>
      <c r="F6" s="36">
        <f>IFERROR(VLOOKUP(CONCATENATE(ФС!$A$3,F1),'Источник Рейтинг'!$A:$AG,4,0),"")</f>
        <v>2.1346830985915492E-2</v>
      </c>
      <c r="G6" s="36">
        <f>IFERROR(VLOOKUP(CONCATENATE(ФС!$A$3,G1),'Источник Рейтинг'!$A:$AG,4,0),"")</f>
        <v>1.9877675840978593E-2</v>
      </c>
      <c r="H6" s="36">
        <f>IFERROR(VLOOKUP(CONCATENATE(ФС!$A$3,H1),'Источник Рейтинг'!$A:$AG,4,0),"")</f>
        <v>1.8442178346712954E-2</v>
      </c>
      <c r="I6" s="36" t="str">
        <f>IFERROR(VLOOKUP(CONCATENATE(ФС!$A$3,I1),'Источник Рейтинг'!$A:$AG,4,0),"")</f>
        <v/>
      </c>
      <c r="J6" s="36" t="str">
        <f>IFERROR(VLOOKUP(CONCATENATE(ФС!$A$3,J1),'Источник Рейтинг'!$A:$AG,4,0),"")</f>
        <v/>
      </c>
      <c r="K6" s="36" t="str">
        <f>IFERROR(VLOOKUP(CONCATENATE(ФС!$A$3,K1),'Источник Рейтинг'!$A:$AG,4,0),"")</f>
        <v/>
      </c>
      <c r="L6" s="36" t="str">
        <f>IFERROR(VLOOKUP(CONCATENATE(ФС!$A$3,L1),'Источник Рейтинг'!$A:$AG,4,0),"")</f>
        <v/>
      </c>
      <c r="M6" s="36" t="str">
        <f>IFERROR(VLOOKUP(CONCATENATE(ФС!$A$3,M1),'Источник Рейтинг'!$A:$AG,4,0),"")</f>
        <v/>
      </c>
      <c r="N6" s="36" t="str">
        <f>IFERROR(VLOOKUP(CONCATENATE(ФС!$A$3,N1),'Источник Рейтинг'!$A:$AG,4,0),"")</f>
        <v/>
      </c>
      <c r="O6" s="36" t="str">
        <f>IFERROR(VLOOKUP(CONCATENATE(ФС!$A$3,O1),'Источник Рейтинг'!$A:$AG,4,0),"")</f>
        <v/>
      </c>
      <c r="P6" s="36" t="str">
        <f>IFERROR(VLOOKUP(CONCATENATE(ФС!$A$3,P1),'Источник Рейтинг'!$A:$AG,4,0),"")</f>
        <v/>
      </c>
      <c r="Q6" s="36" t="str">
        <f>IFERROR(VLOOKUP(CONCATENATE(ФС!$A$3,Q1),'Источник Рейтинг'!$A:$AG,4,0),"")</f>
        <v/>
      </c>
      <c r="R6" s="36" t="str">
        <f>IFERROR(VLOOKUP(CONCATENATE(ФС!$A$3,R1),'Источник Рейтинг'!$A:$AG,4,0),"")</f>
        <v/>
      </c>
      <c r="S6" s="36" t="str">
        <f>IFERROR(VLOOKUP(CONCATENATE(ФС!$A$3,S1),'Источник Рейтинг'!$A:$AG,4,0),"")</f>
        <v/>
      </c>
      <c r="T6" s="36" t="str">
        <f>IFERROR(VLOOKUP(CONCATENATE(ФС!$A$3,T1),'Источник Рейтинг'!$A:$AG,4,0),"")</f>
        <v/>
      </c>
      <c r="U6" s="36" t="str">
        <f>IFERROR(VLOOKUP(CONCATENATE(ФС!$A$3,U1),'Источник Рейтинг'!$A:$AG,4,0),"")</f>
        <v/>
      </c>
      <c r="V6" s="36" t="str">
        <f>IFERROR(VLOOKUP(CONCATENATE(ФС!$A$3,V1),'Источник Рейтинг'!$A:$AG,4,0),"")</f>
        <v/>
      </c>
      <c r="W6" s="36" t="str">
        <f>IFERROR(VLOOKUP(CONCATENATE(ФС!$A$3,W1),'Источник Рейтинг'!$A:$AG,4,0),"")</f>
        <v/>
      </c>
      <c r="X6" s="36" t="str">
        <f>IFERROR(VLOOKUP(CONCATENATE(ФС!$A$3,X1),'Источник Рейтинг'!$A:$AG,4,0),"")</f>
        <v/>
      </c>
      <c r="Y6" s="36" t="str">
        <f>IFERROR(VLOOKUP(CONCATENATE(ФС!$A$3,Y1),'Источник Рейтинг'!$A:$AG,4,0),"")</f>
        <v/>
      </c>
      <c r="Z6" s="36" t="str">
        <f>IFERROR(VLOOKUP(CONCATENATE(ФС!$A$3,Z1),'Источник Рейтинг'!$A:$AG,4,0),"")</f>
        <v/>
      </c>
      <c r="AA6" s="36" t="str">
        <f>IFERROR(VLOOKUP(CONCATENATE(ФС!$A$3,AA1),'Источник Рейтинг'!$A:$AG,4,0),"")</f>
        <v/>
      </c>
      <c r="AB6" s="36" t="str">
        <f>IFERROR(VLOOKUP(CONCATENATE(ФС!$A$3,AB1),'Источник Рейтинг'!$A:$AG,4,0),"")</f>
        <v/>
      </c>
      <c r="AC6" s="36" t="str">
        <f>IFERROR(VLOOKUP(CONCATENATE(ФС!$A$3,AC1),'Источник Рейтинг'!$A:$AG,4,0),"")</f>
        <v/>
      </c>
      <c r="AD6" s="36" t="str">
        <f>IFERROR(VLOOKUP(CONCATENATE(ФС!$A$3,AD1),'Источник Рейтинг'!$A:$AG,4,0),"")</f>
        <v/>
      </c>
      <c r="AE6" s="36" t="str">
        <f>IFERROR(VLOOKUP(CONCATENATE(ФС!$A$3,AE1),'Источник Рейтинг'!$A:$AG,4,0),"")</f>
        <v/>
      </c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</row>
    <row r="9" spans="1:171" ht="18.75" x14ac:dyDescent="0.3">
      <c r="B9" s="17" t="s">
        <v>21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</row>
    <row r="10" spans="1:171" x14ac:dyDescent="0.25">
      <c r="A10" t="s">
        <v>20</v>
      </c>
      <c r="B10" s="1">
        <v>0.05</v>
      </c>
      <c r="C10" s="1">
        <v>0.05</v>
      </c>
      <c r="D10" s="1">
        <v>0.05</v>
      </c>
      <c r="E10" s="1">
        <v>0.05</v>
      </c>
      <c r="F10" s="1">
        <v>0.05</v>
      </c>
      <c r="G10" s="1">
        <v>0.05</v>
      </c>
      <c r="H10" s="1">
        <v>0.05</v>
      </c>
      <c r="I10" s="1">
        <v>0.05</v>
      </c>
      <c r="J10" s="1">
        <v>0.05</v>
      </c>
      <c r="K10" s="1">
        <v>0.05</v>
      </c>
      <c r="L10" s="1">
        <v>0.05</v>
      </c>
      <c r="M10" s="1">
        <v>0.05</v>
      </c>
      <c r="N10" s="1">
        <v>0.05</v>
      </c>
      <c r="O10" s="1">
        <v>0.05</v>
      </c>
      <c r="P10" s="1">
        <v>0.05</v>
      </c>
      <c r="Q10" s="1">
        <v>0.05</v>
      </c>
      <c r="R10" s="1">
        <v>0.05</v>
      </c>
      <c r="S10" s="1">
        <v>0.05</v>
      </c>
      <c r="T10" s="1">
        <v>0.05</v>
      </c>
      <c r="U10" s="1">
        <v>0.05</v>
      </c>
      <c r="V10" s="1">
        <v>0.05</v>
      </c>
      <c r="W10" s="1">
        <v>0.05</v>
      </c>
      <c r="X10" s="1">
        <v>0.05</v>
      </c>
      <c r="Y10" s="1">
        <v>0.05</v>
      </c>
      <c r="Z10" s="1">
        <v>0.05</v>
      </c>
      <c r="AA10" s="1">
        <v>0.05</v>
      </c>
      <c r="AB10" s="1">
        <v>0.05</v>
      </c>
      <c r="AC10" s="1">
        <v>0.05</v>
      </c>
      <c r="AD10" s="1">
        <v>0.05</v>
      </c>
      <c r="AE10" s="1">
        <v>0.05</v>
      </c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171" s="36" customFormat="1" x14ac:dyDescent="0.25">
      <c r="A11" s="36" t="s">
        <v>53</v>
      </c>
      <c r="B11" s="36">
        <f>IFERROR(VLOOKUP(CONCATENATE(ФС!$A$3,B1),'Источник Рейтинг'!$A:$AG,5,0),"")</f>
        <v>5.2010949673615497E-2</v>
      </c>
      <c r="C11" s="36">
        <f>IFERROR(VLOOKUP(CONCATENATE(ФС!$A$3,C1),'Источник Рейтинг'!$A:$AG,5,0),"")</f>
        <v>2.7140753208499895E-2</v>
      </c>
      <c r="D11" s="36" t="str">
        <f>IFERROR(VLOOKUP(CONCATENATE(ФС!$A$3,D1),'Источник Рейтинг'!$A:$AG,5,0),"")</f>
        <v/>
      </c>
      <c r="E11" s="36" t="str">
        <f>IFERROR(VLOOKUP(CONCATENATE(ФС!$A$3,E1),'Источник Рейтинг'!$A:$AG,5,0),"")</f>
        <v/>
      </c>
      <c r="F11" s="36">
        <f>IFERROR(VLOOKUP(CONCATENATE(ФС!$A$3,F1),'Источник Рейтинг'!$A:$AG,5,0),"")</f>
        <v>1.3204225352112676E-2</v>
      </c>
      <c r="G11" s="36">
        <f>IFERROR(VLOOKUP(CONCATENATE(ФС!$A$3,G1),'Источник Рейтинг'!$A:$AG,5,0),"")</f>
        <v>1.0266491917868065E-2</v>
      </c>
      <c r="H11" s="36">
        <f>IFERROR(VLOOKUP(CONCATENATE(ФС!$A$3,H1),'Источник Рейтинг'!$A:$AG,5,0),"")</f>
        <v>7.1599045346062056E-3</v>
      </c>
      <c r="I11" s="36" t="str">
        <f>IFERROR(VLOOKUP(CONCATENATE(ФС!$A$3,I1),'Источник Рейтинг'!$A:$AG,5,0),"")</f>
        <v/>
      </c>
      <c r="J11" s="36" t="str">
        <f>IFERROR(VLOOKUP(CONCATENATE(ФС!$A$3,J1),'Источник Рейтинг'!$A:$AG,5,0),"")</f>
        <v/>
      </c>
      <c r="K11" s="36" t="str">
        <f>IFERROR(VLOOKUP(CONCATENATE(ФС!$A$3,K1),'Источник Рейтинг'!$A:$AG,5,0),"")</f>
        <v/>
      </c>
      <c r="L11" s="36" t="str">
        <f>IFERROR(VLOOKUP(CONCATENATE(ФС!$A$3,L1),'Источник Рейтинг'!$A:$AG,5,0),"")</f>
        <v/>
      </c>
      <c r="M11" s="36" t="str">
        <f>IFERROR(VLOOKUP(CONCATENATE(ФС!$A$3,M1),'Источник Рейтинг'!$A:$AG,5,0),"")</f>
        <v/>
      </c>
      <c r="N11" s="36" t="str">
        <f>IFERROR(VLOOKUP(CONCATENATE(ФС!$A$3,N1),'Источник Рейтинг'!$A:$AG,5,0),"")</f>
        <v/>
      </c>
      <c r="O11" s="36" t="str">
        <f>IFERROR(VLOOKUP(CONCATENATE(ФС!$A$3,O1),'Источник Рейтинг'!$A:$AG,5,0),"")</f>
        <v/>
      </c>
      <c r="P11" s="36" t="str">
        <f>IFERROR(VLOOKUP(CONCATENATE(ФС!$A$3,P1),'Источник Рейтинг'!$A:$AG,5,0),"")</f>
        <v/>
      </c>
      <c r="Q11" s="36" t="str">
        <f>IFERROR(VLOOKUP(CONCATENATE(ФС!$A$3,Q1),'Источник Рейтинг'!$A:$AG,5,0),"")</f>
        <v/>
      </c>
      <c r="R11" s="36" t="str">
        <f>IFERROR(VLOOKUP(CONCATENATE(ФС!$A$3,R1),'Источник Рейтинг'!$A:$AG,5,0),"")</f>
        <v/>
      </c>
      <c r="S11" s="36" t="str">
        <f>IFERROR(VLOOKUP(CONCATENATE(ФС!$A$3,S1),'Источник Рейтинг'!$A:$AG,5,0),"")</f>
        <v/>
      </c>
      <c r="T11" s="36" t="str">
        <f>IFERROR(VLOOKUP(CONCATENATE(ФС!$A$3,T1),'Источник Рейтинг'!$A:$AG,5,0),"")</f>
        <v/>
      </c>
      <c r="U11" s="36" t="str">
        <f>IFERROR(VLOOKUP(CONCATENATE(ФС!$A$3,U1),'Источник Рейтинг'!$A:$AG,5,0),"")</f>
        <v/>
      </c>
      <c r="V11" s="36" t="str">
        <f>IFERROR(VLOOKUP(CONCATENATE(ФС!$A$3,V1),'Источник Рейтинг'!$A:$AG,5,0),"")</f>
        <v/>
      </c>
      <c r="W11" s="36" t="str">
        <f>IFERROR(VLOOKUP(CONCATENATE(ФС!$A$3,W1),'Источник Рейтинг'!$A:$AG,5,0),"")</f>
        <v/>
      </c>
      <c r="X11" s="36" t="str">
        <f>IFERROR(VLOOKUP(CONCATENATE(ФС!$A$3,X1),'Источник Рейтинг'!$A:$AG,5,0),"")</f>
        <v/>
      </c>
      <c r="Y11" s="36" t="str">
        <f>IFERROR(VLOOKUP(CONCATENATE(ФС!$A$3,Y1),'Источник Рейтинг'!$A:$AG,5,0),"")</f>
        <v/>
      </c>
      <c r="Z11" s="36" t="str">
        <f>IFERROR(VLOOKUP(CONCATENATE(ФС!$A$3,Z1),'Источник Рейтинг'!$A:$AG,5,0),"")</f>
        <v/>
      </c>
      <c r="AA11" s="36" t="str">
        <f>IFERROR(VLOOKUP(CONCATENATE(ФС!$A$3,AA1),'Источник Рейтинг'!$A:$AG,5,0),"")</f>
        <v/>
      </c>
      <c r="AB11" s="36" t="str">
        <f>IFERROR(VLOOKUP(CONCATENATE(ФС!$A$3,AB1),'Источник Рейтинг'!$A:$AG,5,0),"")</f>
        <v/>
      </c>
      <c r="AC11" s="36" t="str">
        <f>IFERROR(VLOOKUP(CONCATENATE(ФС!$A$3,AC1),'Источник Рейтинг'!$A:$AG,5,0),"")</f>
        <v/>
      </c>
      <c r="AD11" s="36" t="str">
        <f>IFERROR(VLOOKUP(CONCATENATE(ФС!$A$3,AD1),'Источник Рейтинг'!$A:$AG,5,0),"")</f>
        <v/>
      </c>
      <c r="AE11" s="36" t="str">
        <f>IFERROR(VLOOKUP(CONCATENATE(ФС!$A$3,AE1),'Источник Рейтинг'!$A:$AG,5,0),"")</f>
        <v/>
      </c>
    </row>
    <row r="14" spans="1:171" ht="18.75" customHeight="1" x14ac:dyDescent="0.3">
      <c r="B14" s="18" t="s">
        <v>79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</row>
    <row r="15" spans="1:171" x14ac:dyDescent="0.25">
      <c r="A15" t="s">
        <v>20</v>
      </c>
      <c r="B15" s="1">
        <v>0.9</v>
      </c>
      <c r="C15" s="1">
        <v>0.9</v>
      </c>
      <c r="D15" s="1">
        <v>0.9</v>
      </c>
      <c r="E15" s="1">
        <v>0.9</v>
      </c>
      <c r="F15" s="1">
        <v>0.9</v>
      </c>
      <c r="G15" s="1">
        <v>0.9</v>
      </c>
      <c r="H15" s="1">
        <v>0.9</v>
      </c>
      <c r="I15" s="1">
        <v>0.9</v>
      </c>
      <c r="J15" s="1">
        <v>0.9</v>
      </c>
      <c r="K15" s="1">
        <v>0.9</v>
      </c>
      <c r="L15" s="1">
        <v>0.9</v>
      </c>
      <c r="M15" s="1">
        <v>0.9</v>
      </c>
      <c r="N15" s="1">
        <v>0.9</v>
      </c>
      <c r="O15" s="1">
        <v>0.9</v>
      </c>
      <c r="P15" s="1">
        <v>0.9</v>
      </c>
      <c r="Q15" s="1">
        <v>0.9</v>
      </c>
      <c r="R15" s="1">
        <v>0.9</v>
      </c>
      <c r="S15" s="1">
        <v>0.9</v>
      </c>
      <c r="T15" s="1">
        <v>0.9</v>
      </c>
      <c r="U15" s="1">
        <v>0.9</v>
      </c>
      <c r="V15" s="1">
        <v>0.9</v>
      </c>
      <c r="W15" s="1">
        <v>0.9</v>
      </c>
      <c r="X15" s="1">
        <v>0.9</v>
      </c>
      <c r="Y15" s="1">
        <v>0.9</v>
      </c>
      <c r="Z15" s="1">
        <v>0.9</v>
      </c>
      <c r="AA15" s="1">
        <v>0.9</v>
      </c>
      <c r="AB15" s="1">
        <v>0.9</v>
      </c>
      <c r="AC15" s="1">
        <v>0.9</v>
      </c>
      <c r="AD15" s="1">
        <v>0.9</v>
      </c>
      <c r="AE15" s="1">
        <v>0.9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171" s="36" customFormat="1" x14ac:dyDescent="0.25">
      <c r="A16" s="36" t="s">
        <v>53</v>
      </c>
      <c r="B16" s="36">
        <f>IFERROR(VLOOKUP(CONCATENATE(ФС!$A$3,B1),'Источник Рейтинг'!$A:$AG,8,0),"")</f>
        <v>0.57637231503579955</v>
      </c>
      <c r="C16" s="36">
        <f>IFERROR(VLOOKUP(CONCATENATE(ФС!$A$3,C1),'Источник Рейтинг'!$A:$AG,8,0),"")</f>
        <v>0.85575364667747167</v>
      </c>
      <c r="D16" s="36" t="str">
        <f>IFERROR(VLOOKUP(CONCATENATE(ФС!$A$3,D1),'Источник Рейтинг'!$A:$AG,8,0),"")</f>
        <v/>
      </c>
      <c r="E16" s="36" t="str">
        <f>IFERROR(VLOOKUP(CONCATENATE(ФС!$A$3,E1),'Источник Рейтинг'!$A:$AG,8,0),"")</f>
        <v/>
      </c>
      <c r="F16" s="36">
        <f>IFERROR(VLOOKUP(CONCATENATE(ФС!$A$3,F1),'Источник Рейтинг'!$A:$AG,8,0),"")</f>
        <v>0.80967402733964244</v>
      </c>
      <c r="G16" s="36">
        <f>IFERROR(VLOOKUP(CONCATENATE(ФС!$A$3,G1),'Источник Рейтинг'!$A:$AG,8,0),"")</f>
        <v>0.87239263803680978</v>
      </c>
      <c r="H16" s="36">
        <f>IFERROR(VLOOKUP(CONCATENATE(ФС!$A$3,H1),'Источник Рейтинг'!$A:$AG,8,0),"")</f>
        <v>0.8571428571428571</v>
      </c>
      <c r="I16" s="36" t="str">
        <f>IFERROR(VLOOKUP(CONCATENATE(ФС!$A$3,I1),'Источник Рейтинг'!$A:$AG,8,0),"")</f>
        <v/>
      </c>
      <c r="J16" s="36" t="str">
        <f>IFERROR(VLOOKUP(CONCATENATE(ФС!$A$3,J1),'Источник Рейтинг'!$A:$AG,8,0),"")</f>
        <v/>
      </c>
      <c r="K16" s="36" t="str">
        <f>IFERROR(VLOOKUP(CONCATENATE(ФС!$A$3,K1),'Источник Рейтинг'!$A:$AG,8,0),"")</f>
        <v/>
      </c>
      <c r="L16" s="36" t="str">
        <f>IFERROR(VLOOKUP(CONCATENATE(ФС!$A$3,L1),'Источник Рейтинг'!$A:$AG,8,0),"")</f>
        <v/>
      </c>
      <c r="M16" s="36" t="str">
        <f>IFERROR(VLOOKUP(CONCATENATE(ФС!$A$3,M1),'Источник Рейтинг'!$A:$AG,8,0),"")</f>
        <v/>
      </c>
      <c r="N16" s="36" t="str">
        <f>IFERROR(VLOOKUP(CONCATENATE(ФС!$A$3,N1),'Источник Рейтинг'!$A:$AG,8,0),"")</f>
        <v/>
      </c>
      <c r="O16" s="36" t="str">
        <f>IFERROR(VLOOKUP(CONCATENATE(ФС!$A$3,O1),'Источник Рейтинг'!$A:$AG,8,0),"")</f>
        <v/>
      </c>
      <c r="P16" s="36" t="str">
        <f>IFERROR(VLOOKUP(CONCATENATE(ФС!$A$3,P1),'Источник Рейтинг'!$A:$AG,8,0),"")</f>
        <v/>
      </c>
      <c r="Q16" s="36" t="str">
        <f>IFERROR(VLOOKUP(CONCATENATE(ФС!$A$3,Q1),'Источник Рейтинг'!$A:$AG,8,0),"")</f>
        <v/>
      </c>
      <c r="R16" s="36" t="str">
        <f>IFERROR(VLOOKUP(CONCATENATE(ФС!$A$3,R1),'Источник Рейтинг'!$A:$AG,8,0),"")</f>
        <v/>
      </c>
      <c r="S16" s="36" t="str">
        <f>IFERROR(VLOOKUP(CONCATENATE(ФС!$A$3,S1),'Источник Рейтинг'!$A:$AG,8,0),"")</f>
        <v/>
      </c>
      <c r="T16" s="36" t="str">
        <f>IFERROR(VLOOKUP(CONCATENATE(ФС!$A$3,T1),'Источник Рейтинг'!$A:$AG,8,0),"")</f>
        <v/>
      </c>
      <c r="U16" s="36" t="str">
        <f>IFERROR(VLOOKUP(CONCATENATE(ФС!$A$3,U1),'Источник Рейтинг'!$A:$AG,8,0),"")</f>
        <v/>
      </c>
      <c r="V16" s="36" t="str">
        <f>IFERROR(VLOOKUP(CONCATENATE(ФС!$A$3,V1),'Источник Рейтинг'!$A:$AG,8,0),"")</f>
        <v/>
      </c>
      <c r="W16" s="36" t="str">
        <f>IFERROR(VLOOKUP(CONCATENATE(ФС!$A$3,W1),'Источник Рейтинг'!$A:$AG,8,0),"")</f>
        <v/>
      </c>
      <c r="X16" s="36" t="str">
        <f>IFERROR(VLOOKUP(CONCATENATE(ФС!$A$3,X1),'Источник Рейтинг'!$A:$AG,8,0),"")</f>
        <v/>
      </c>
      <c r="Y16" s="36" t="str">
        <f>IFERROR(VLOOKUP(CONCATENATE(ФС!$A$3,Y1),'Источник Рейтинг'!$A:$AG,8,0),"")</f>
        <v/>
      </c>
      <c r="Z16" s="36" t="str">
        <f>IFERROR(VLOOKUP(CONCATENATE(ФС!$A$3,Z1),'Источник Рейтинг'!$A:$AG,8,0),"")</f>
        <v/>
      </c>
      <c r="AA16" s="36" t="str">
        <f>IFERROR(VLOOKUP(CONCATENATE(ФС!$A$3,AA1),'Источник Рейтинг'!$A:$AG,8,0),"")</f>
        <v/>
      </c>
      <c r="AB16" s="36" t="str">
        <f>IFERROR(VLOOKUP(CONCATENATE(ФС!$A$3,AB1),'Источник Рейтинг'!$A:$AG,8,0),"")</f>
        <v/>
      </c>
      <c r="AC16" s="36" t="str">
        <f>IFERROR(VLOOKUP(CONCATENATE(ФС!$A$3,AC1),'Источник Рейтинг'!$A:$AG,8,0),"")</f>
        <v/>
      </c>
      <c r="AD16" s="36" t="str">
        <f>IFERROR(VLOOKUP(CONCATENATE(ФС!$A$3,AD1),'Источник Рейтинг'!$A:$AG,8,0),"")</f>
        <v/>
      </c>
      <c r="AE16" s="36" t="str">
        <f>IFERROR(VLOOKUP(CONCATENATE(ФС!$A$3,AE1),'Источник Рейтинг'!$A:$AG,8,0),"")</f>
        <v/>
      </c>
    </row>
    <row r="19" spans="1:171" ht="18.75" x14ac:dyDescent="0.3">
      <c r="B19" s="19" t="s">
        <v>18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</row>
    <row r="20" spans="1:171" x14ac:dyDescent="0.25">
      <c r="A20" t="s">
        <v>20</v>
      </c>
      <c r="B20" s="1">
        <v>0.01</v>
      </c>
      <c r="C20" s="1">
        <v>0.01</v>
      </c>
      <c r="D20" s="1">
        <v>0.01</v>
      </c>
      <c r="E20" s="1">
        <v>0.01</v>
      </c>
      <c r="F20" s="1">
        <v>0.01</v>
      </c>
      <c r="G20" s="1">
        <v>0.01</v>
      </c>
      <c r="H20" s="1">
        <v>0.01</v>
      </c>
      <c r="I20" s="1">
        <v>0.01</v>
      </c>
      <c r="J20" s="1">
        <v>0.01</v>
      </c>
      <c r="K20" s="1">
        <v>0.01</v>
      </c>
      <c r="L20" s="1">
        <v>0.01</v>
      </c>
      <c r="M20" s="1">
        <v>0.01</v>
      </c>
      <c r="N20" s="1">
        <v>0.01</v>
      </c>
      <c r="O20" s="1">
        <v>0.01</v>
      </c>
      <c r="P20" s="1">
        <v>0.01</v>
      </c>
      <c r="Q20" s="1">
        <v>0.01</v>
      </c>
      <c r="R20" s="1">
        <v>0.01</v>
      </c>
      <c r="S20" s="1">
        <v>0.01</v>
      </c>
      <c r="T20" s="1">
        <v>0.01</v>
      </c>
      <c r="U20" s="1">
        <v>0.01</v>
      </c>
      <c r="V20" s="1">
        <v>0.01</v>
      </c>
      <c r="W20" s="1">
        <v>0.01</v>
      </c>
      <c r="X20" s="1">
        <v>0.01</v>
      </c>
      <c r="Y20" s="1">
        <v>0.01</v>
      </c>
      <c r="Z20" s="1">
        <v>0.01</v>
      </c>
      <c r="AA20" s="1">
        <v>0.01</v>
      </c>
      <c r="AB20" s="1">
        <v>0.01</v>
      </c>
      <c r="AC20" s="1">
        <v>0.01</v>
      </c>
      <c r="AD20" s="1">
        <v>0.01</v>
      </c>
      <c r="AE20" s="1">
        <v>0.01</v>
      </c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171" s="36" customFormat="1" x14ac:dyDescent="0.25">
      <c r="A21" s="36" t="s">
        <v>53</v>
      </c>
      <c r="B21" s="36">
        <f>IFERROR(VLOOKUP(CONCATENATE(ФС!$A$3,B1),'Источник Рейтинг'!$A:$AG,10,0),"")</f>
        <v>0.10606060606060608</v>
      </c>
      <c r="C21" s="36">
        <f>IFERROR(VLOOKUP(CONCATENATE(ФС!$A$3,C1),'Источник Рейтинг'!$A:$AG,10,0),"")</f>
        <v>5.3935860058309082E-2</v>
      </c>
      <c r="D21" s="36" t="str">
        <f>IFERROR(VLOOKUP(CONCATENATE(ФС!$A$3,D1),'Источник Рейтинг'!$A:$AG,10,0),"")</f>
        <v/>
      </c>
      <c r="E21" s="36" t="str">
        <f>IFERROR(VLOOKUP(CONCATENATE(ФС!$A$3,E1),'Источник Рейтинг'!$A:$AG,10,0),"")</f>
        <v/>
      </c>
      <c r="F21" s="36">
        <f>IFERROR(VLOOKUP(CONCATENATE(ФС!$A$3,F1),'Источник Рейтинг'!$A:$AG,10,0),"")</f>
        <v>5.8697972251867681E-2</v>
      </c>
      <c r="G21" s="36">
        <f>IFERROR(VLOOKUP(CONCATENATE(ФС!$A$3,G1),'Источник Рейтинг'!$A:$AG,10,0),"")</f>
        <v>6.2929061784896989E-2</v>
      </c>
      <c r="H21" s="36">
        <f>IFERROR(VLOOKUP(CONCATENATE(ФС!$A$3,H1),'Источник Рейтинг'!$A:$AG,10,0),"")</f>
        <v>4.3478260869565188E-2</v>
      </c>
      <c r="I21" s="36" t="str">
        <f>IFERROR(VLOOKUP(CONCATENATE(ФС!$A$3,I1),'Источник Рейтинг'!$A:$AG,10,0),"")</f>
        <v/>
      </c>
      <c r="J21" s="36" t="str">
        <f>IFERROR(VLOOKUP(CONCATENATE(ФС!$A$3,J1),'Источник Рейтинг'!$A:$AG,10,0),"")</f>
        <v/>
      </c>
      <c r="K21" s="36" t="str">
        <f>IFERROR(VLOOKUP(CONCATENATE(ФС!$A$3,K1),'Источник Рейтинг'!$A:$AG,10,0),"")</f>
        <v/>
      </c>
      <c r="L21" s="36" t="str">
        <f>IFERROR(VLOOKUP(CONCATENATE(ФС!$A$3,L1),'Источник Рейтинг'!$A:$AG,10,0),"")</f>
        <v/>
      </c>
      <c r="M21" s="36" t="str">
        <f>IFERROR(VLOOKUP(CONCATENATE(ФС!$A$3,M1),'Источник Рейтинг'!$A:$AG,10,0),"")</f>
        <v/>
      </c>
      <c r="N21" s="36" t="str">
        <f>IFERROR(VLOOKUP(CONCATENATE(ФС!$A$3,N1),'Источник Рейтинг'!$A:$AG,10,0),"")</f>
        <v/>
      </c>
      <c r="O21" s="36" t="str">
        <f>IFERROR(VLOOKUP(CONCATENATE(ФС!$A$3,O1),'Источник Рейтинг'!$A:$AG,10,0),"")</f>
        <v/>
      </c>
      <c r="P21" s="36" t="str">
        <f>IFERROR(VLOOKUP(CONCATENATE(ФС!$A$3,P1),'Источник Рейтинг'!$A:$AG,10,0),"")</f>
        <v/>
      </c>
      <c r="Q21" s="36" t="str">
        <f>IFERROR(VLOOKUP(CONCATENATE(ФС!$A$3,Q1),'Источник Рейтинг'!$A:$AG,10,0),"")</f>
        <v/>
      </c>
      <c r="R21" s="36" t="str">
        <f>IFERROR(VLOOKUP(CONCATENATE(ФС!$A$3,R1),'Источник Рейтинг'!$A:$AG,10,0),"")</f>
        <v/>
      </c>
      <c r="S21" s="36" t="str">
        <f>IFERROR(VLOOKUP(CONCATENATE(ФС!$A$3,S1),'Источник Рейтинг'!$A:$AG,10,0),"")</f>
        <v/>
      </c>
      <c r="T21" s="36" t="str">
        <f>IFERROR(VLOOKUP(CONCATENATE(ФС!$A$3,T1),'Источник Рейтинг'!$A:$AG,10,0),"")</f>
        <v/>
      </c>
      <c r="U21" s="36" t="str">
        <f>IFERROR(VLOOKUP(CONCATENATE(ФС!$A$3,U1),'Источник Рейтинг'!$A:$AG,10,0),"")</f>
        <v/>
      </c>
      <c r="V21" s="36" t="str">
        <f>IFERROR(VLOOKUP(CONCATENATE(ФС!$A$3,V1),'Источник Рейтинг'!$A:$AG,10,0),"")</f>
        <v/>
      </c>
      <c r="W21" s="36" t="str">
        <f>IFERROR(VLOOKUP(CONCATENATE(ФС!$A$3,W1),'Источник Рейтинг'!$A:$AG,10,0),"")</f>
        <v/>
      </c>
      <c r="X21" s="36" t="str">
        <f>IFERROR(VLOOKUP(CONCATENATE(ФС!$A$3,X1),'Источник Рейтинг'!$A:$AG,10,0),"")</f>
        <v/>
      </c>
      <c r="Y21" s="36" t="str">
        <f>IFERROR(VLOOKUP(CONCATENATE(ФС!$A$3,Y1),'Источник Рейтинг'!$A:$AG,10,0),"")</f>
        <v/>
      </c>
      <c r="Z21" s="36" t="str">
        <f>IFERROR(VLOOKUP(CONCATENATE(ФС!$A$3,Z1),'Источник Рейтинг'!$A:$AG,10,0),"")</f>
        <v/>
      </c>
      <c r="AA21" s="36" t="str">
        <f>IFERROR(VLOOKUP(CONCATENATE(ФС!$A$3,AA1),'Источник Рейтинг'!$A:$AG,10,0),"")</f>
        <v/>
      </c>
      <c r="AB21" s="36" t="str">
        <f>IFERROR(VLOOKUP(CONCATENATE(ФС!$A$3,AB1),'Источник Рейтинг'!$A:$AG,10,0),"")</f>
        <v/>
      </c>
      <c r="AC21" s="36" t="str">
        <f>IFERROR(VLOOKUP(CONCATENATE(ФС!$A$3,AC1),'Источник Рейтинг'!$A:$AG,10,0),"")</f>
        <v/>
      </c>
      <c r="AD21" s="36" t="str">
        <f>IFERROR(VLOOKUP(CONCATENATE(ФС!$A$3,AD1),'Источник Рейтинг'!$A:$AG,10,0),"")</f>
        <v/>
      </c>
      <c r="AE21" s="36" t="str">
        <f>IFERROR(VLOOKUP(CONCATENATE(ФС!$A$3,AE1),'Источник Рейтинг'!$A:$AG,10,0),"")</f>
        <v/>
      </c>
    </row>
    <row r="24" spans="1:171" ht="18.75" x14ac:dyDescent="0.3">
      <c r="B24" s="20" t="s">
        <v>30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</row>
    <row r="25" spans="1:171" s="37" customFormat="1" x14ac:dyDescent="0.25">
      <c r="A25" s="37" t="s">
        <v>53</v>
      </c>
      <c r="B25" s="37">
        <f>IFERROR(VLOOKUP(CONCATENATE(ФС!$A$3,B1),'Источник Рейтинг'!$A:$AG,COLUMN('Источник Рейтинг'!$Z:$Z),0),"")</f>
        <v>30</v>
      </c>
      <c r="C25" s="37">
        <f>IFERROR(VLOOKUP(CONCATENATE(ФС!$A$3,C1),'Источник Рейтинг'!$A:$AG,COLUMN('Источник Рейтинг'!$Z:$Z),0),"")</f>
        <v>33</v>
      </c>
      <c r="D25" s="37" t="str">
        <f>IFERROR(VLOOKUP(CONCATENATE(ФС!$A$3,D1),'Источник Рейтинг'!$A:$AG,COLUMN('Источник Рейтинг'!$Z:$Z),0),"")</f>
        <v/>
      </c>
      <c r="E25" s="37" t="str">
        <f>IFERROR(VLOOKUP(CONCATENATE(ФС!$A$3,E1),'Источник Рейтинг'!$A:$AG,COLUMN('Источник Рейтинг'!$Z:$Z),0),"")</f>
        <v/>
      </c>
      <c r="F25" s="37">
        <f>IFERROR(VLOOKUP(CONCATENATE(ФС!$A$3,F1),'Источник Рейтинг'!$A:$AG,COLUMN('Источник Рейтинг'!$Z:$Z),0),"")</f>
        <v>32</v>
      </c>
      <c r="G25" s="37">
        <f>IFERROR(VLOOKUP(CONCATENATE(ФС!$A$3,G1),'Источник Рейтинг'!$A:$AG,COLUMN('Источник Рейтинг'!$Z:$Z),0),"")</f>
        <v>20</v>
      </c>
      <c r="H25" s="37">
        <f>IFERROR(VLOOKUP(CONCATENATE(ФС!$A$3,H1),'Источник Рейтинг'!$A:$AG,COLUMN('Источник Рейтинг'!$Z:$Z),0),"")</f>
        <v>29</v>
      </c>
      <c r="I25" s="37" t="str">
        <f>IFERROR(VLOOKUP(CONCATENATE(ФС!$A$3,I1),'Источник Рейтинг'!$A:$AG,COLUMN('Источник Рейтинг'!$Z:$Z),0),"")</f>
        <v/>
      </c>
      <c r="J25" s="37" t="str">
        <f>IFERROR(VLOOKUP(CONCATENATE(ФС!$A$3,J1),'Источник Рейтинг'!$A:$AG,COLUMN('Источник Рейтинг'!$Z:$Z),0),"")</f>
        <v/>
      </c>
      <c r="K25" s="37" t="str">
        <f>IFERROR(VLOOKUP(CONCATENATE(ФС!$A$3,K1),'Источник Рейтинг'!$A:$AG,COLUMN('Источник Рейтинг'!$Z:$Z),0),"")</f>
        <v/>
      </c>
      <c r="L25" s="37" t="str">
        <f>IFERROR(VLOOKUP(CONCATENATE(ФС!$A$3,L1),'Источник Рейтинг'!$A:$AG,COLUMN('Источник Рейтинг'!$Z:$Z),0),"")</f>
        <v/>
      </c>
      <c r="M25" s="37" t="str">
        <f>IFERROR(VLOOKUP(CONCATENATE(ФС!$A$3,M1),'Источник Рейтинг'!$A:$AG,COLUMN('Источник Рейтинг'!$Z:$Z),0),"")</f>
        <v/>
      </c>
      <c r="N25" s="37" t="str">
        <f>IFERROR(VLOOKUP(CONCATENATE(ФС!$A$3,N1),'Источник Рейтинг'!$A:$AG,COLUMN('Источник Рейтинг'!$Z:$Z),0),"")</f>
        <v/>
      </c>
      <c r="O25" s="37" t="str">
        <f>IFERROR(VLOOKUP(CONCATENATE(ФС!$A$3,O1),'Источник Рейтинг'!$A:$AG,COLUMN('Источник Рейтинг'!$Z:$Z),0),"")</f>
        <v/>
      </c>
      <c r="P25" s="37" t="str">
        <f>IFERROR(VLOOKUP(CONCATENATE(ФС!$A$3,P1),'Источник Рейтинг'!$A:$AG,COLUMN('Источник Рейтинг'!$Z:$Z),0),"")</f>
        <v/>
      </c>
      <c r="Q25" s="37" t="str">
        <f>IFERROR(VLOOKUP(CONCATENATE(ФС!$A$3,Q1),'Источник Рейтинг'!$A:$AG,COLUMN('Источник Рейтинг'!$Z:$Z),0),"")</f>
        <v/>
      </c>
      <c r="R25" s="37" t="str">
        <f>IFERROR(VLOOKUP(CONCATENATE(ФС!$A$3,R1),'Источник Рейтинг'!$A:$AG,COLUMN('Источник Рейтинг'!$Z:$Z),0),"")</f>
        <v/>
      </c>
      <c r="S25" s="37" t="str">
        <f>IFERROR(VLOOKUP(CONCATENATE(ФС!$A$3,S1),'Источник Рейтинг'!$A:$AG,COLUMN('Источник Рейтинг'!$Z:$Z),0),"")</f>
        <v/>
      </c>
      <c r="T25" s="37" t="str">
        <f>IFERROR(VLOOKUP(CONCATENATE(ФС!$A$3,T1),'Источник Рейтинг'!$A:$AG,COLUMN('Источник Рейтинг'!$Z:$Z),0),"")</f>
        <v/>
      </c>
      <c r="U25" s="37" t="str">
        <f>IFERROR(VLOOKUP(CONCATENATE(ФС!$A$3,U1),'Источник Рейтинг'!$A:$AG,COLUMN('Источник Рейтинг'!$Z:$Z),0),"")</f>
        <v/>
      </c>
      <c r="V25" s="37" t="str">
        <f>IFERROR(VLOOKUP(CONCATENATE(ФС!$A$3,V1),'Источник Рейтинг'!$A:$AG,COLUMN('Источник Рейтинг'!$Z:$Z),0),"")</f>
        <v/>
      </c>
      <c r="W25" s="37" t="str">
        <f>IFERROR(VLOOKUP(CONCATENATE(ФС!$A$3,W1),'Источник Рейтинг'!$A:$AG,COLUMN('Источник Рейтинг'!$Z:$Z),0),"")</f>
        <v/>
      </c>
      <c r="X25" s="37" t="str">
        <f>IFERROR(VLOOKUP(CONCATENATE(ФС!$A$3,X1),'Источник Рейтинг'!$A:$AG,COLUMN('Источник Рейтинг'!$Z:$Z),0),"")</f>
        <v/>
      </c>
      <c r="Y25" s="37" t="str">
        <f>IFERROR(VLOOKUP(CONCATENATE(ФС!$A$3,Y1),'Источник Рейтинг'!$A:$AG,COLUMN('Источник Рейтинг'!$Z:$Z),0),"")</f>
        <v/>
      </c>
      <c r="Z25" s="37" t="str">
        <f>IFERROR(VLOOKUP(CONCATENATE(ФС!$A$3,Z1),'Источник Рейтинг'!$A:$AG,COLUMN('Источник Рейтинг'!$Z:$Z),0),"")</f>
        <v/>
      </c>
      <c r="AA25" s="37" t="str">
        <f>IFERROR(VLOOKUP(CONCATENATE(ФС!$A$3,AA1),'Источник Рейтинг'!$A:$AG,COLUMN('Источник Рейтинг'!$Z:$Z),0),"")</f>
        <v/>
      </c>
      <c r="AB25" s="37" t="str">
        <f>IFERROR(VLOOKUP(CONCATENATE(ФС!$A$3,AB1),'Источник Рейтинг'!$A:$AG,COLUMN('Источник Рейтинг'!$Z:$Z),0),"")</f>
        <v/>
      </c>
      <c r="AC25" s="37" t="str">
        <f>IFERROR(VLOOKUP(CONCATENATE(ФС!$A$3,AC1),'Источник Рейтинг'!$A:$AG,COLUMN('Источник Рейтинг'!$Z:$Z),0),"")</f>
        <v/>
      </c>
      <c r="AD25" s="37" t="str">
        <f>IFERROR(VLOOKUP(CONCATENATE(ФС!$A$3,AD1),'Источник Рейтинг'!$A:$AG,COLUMN('Источник Рейтинг'!$Z:$Z),0),"")</f>
        <v/>
      </c>
      <c r="AE25" s="37" t="str">
        <f>IFERROR(VLOOKUP(CONCATENATE(ФС!$A$3,AE1),'Источник Рейтинг'!$A:$AG,COLUMN('Источник Рейтинг'!$Z:$Z),0),"")</f>
        <v/>
      </c>
    </row>
    <row r="28" spans="1:171" ht="18.75" x14ac:dyDescent="0.3">
      <c r="B28" s="21" t="s">
        <v>78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</row>
    <row r="29" spans="1:171" x14ac:dyDescent="0.25">
      <c r="A29" t="s">
        <v>20</v>
      </c>
      <c r="B29" s="1">
        <v>5.1999999999999998E-2</v>
      </c>
      <c r="C29" s="1">
        <v>5.1999999999999998E-2</v>
      </c>
      <c r="D29" s="1">
        <v>5.1999999999999998E-2</v>
      </c>
      <c r="E29" s="1">
        <v>5.1999999999999998E-2</v>
      </c>
      <c r="F29" s="1">
        <v>5.1999999999999998E-2</v>
      </c>
      <c r="G29" s="1">
        <v>5.1999999999999998E-2</v>
      </c>
      <c r="H29" s="1">
        <v>5.1999999999999998E-2</v>
      </c>
      <c r="I29" s="1">
        <v>5.1999999999999998E-2</v>
      </c>
      <c r="J29" s="1">
        <v>5.1999999999999998E-2</v>
      </c>
      <c r="K29" s="1">
        <v>5.1999999999999998E-2</v>
      </c>
      <c r="L29" s="1">
        <v>5.1999999999999998E-2</v>
      </c>
      <c r="M29" s="1">
        <v>5.1999999999999998E-2</v>
      </c>
      <c r="N29" s="1">
        <v>5.1999999999999998E-2</v>
      </c>
      <c r="O29" s="1">
        <v>5.1999999999999998E-2</v>
      </c>
      <c r="P29" s="1">
        <v>5.1999999999999998E-2</v>
      </c>
      <c r="Q29" s="1">
        <v>5.1999999999999998E-2</v>
      </c>
      <c r="R29" s="1">
        <v>5.1999999999999998E-2</v>
      </c>
      <c r="S29" s="1">
        <v>5.1999999999999998E-2</v>
      </c>
      <c r="T29" s="1">
        <v>5.1999999999999998E-2</v>
      </c>
      <c r="U29" s="1">
        <v>5.1999999999999998E-2</v>
      </c>
      <c r="V29" s="1">
        <v>5.1999999999999998E-2</v>
      </c>
      <c r="W29" s="1">
        <v>5.1999999999999998E-2</v>
      </c>
      <c r="X29" s="1">
        <v>5.1999999999999998E-2</v>
      </c>
      <c r="Y29" s="1">
        <v>5.1999999999999998E-2</v>
      </c>
      <c r="Z29" s="1">
        <v>5.1999999999999998E-2</v>
      </c>
      <c r="AA29" s="1">
        <v>5.1999999999999998E-2</v>
      </c>
      <c r="AB29" s="1">
        <v>5.1999999999999998E-2</v>
      </c>
      <c r="AC29" s="1">
        <v>5.1999999999999998E-2</v>
      </c>
      <c r="AD29" s="1">
        <v>5.1999999999999998E-2</v>
      </c>
      <c r="AE29" s="1">
        <v>5.1999999999999998E-2</v>
      </c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171" s="36" customFormat="1" x14ac:dyDescent="0.25">
      <c r="A30" s="36" t="s">
        <v>53</v>
      </c>
      <c r="B30" s="36">
        <f>IFERROR(VLOOKUP(CONCATENATE(ФС!$A$3,B1),'Источник Рейтинг'!$A:$AG,12,0),"")</f>
        <v>1E-3</v>
      </c>
      <c r="C30" s="36">
        <f>IFERROR(VLOOKUP(CONCATENATE(ФС!$A$3,C1),'Источник Рейтинг'!$A:$AG,12,0),"")</f>
        <v>3.0000000000000001E-3</v>
      </c>
      <c r="D30" s="36" t="str">
        <f>IFERROR(VLOOKUP(CONCATENATE(ФС!$A$3,D1),'Источник Рейтинг'!$A:$AG,12,0),"")</f>
        <v/>
      </c>
      <c r="E30" s="36" t="str">
        <f>IFERROR(VLOOKUP(CONCATENATE(ФС!$A$3,E1),'Источник Рейтинг'!$A:$AG,12,0),"")</f>
        <v/>
      </c>
      <c r="F30" s="36">
        <f>IFERROR(VLOOKUP(CONCATENATE(ФС!$A$3,F1),'Источник Рейтинг'!$A:$AG,12,0),"")</f>
        <v>0</v>
      </c>
      <c r="G30" s="36">
        <f>IFERROR(VLOOKUP(CONCATENATE(ФС!$A$3,G1),'Источник Рейтинг'!$A:$AG,12,0),"")</f>
        <v>9.0000000000000011E-3</v>
      </c>
      <c r="H30" s="36">
        <f>IFERROR(VLOOKUP(CONCATENATE(ФС!$A$3,H1),'Источник Рейтинг'!$A:$AG,12,0),"")</f>
        <v>9.0000000000000011E-3</v>
      </c>
      <c r="I30" s="36" t="str">
        <f>IFERROR(VLOOKUP(CONCATENATE(ФС!$A$3,I1),'Источник Рейтинг'!$A:$AG,12,0),"")</f>
        <v/>
      </c>
      <c r="J30" s="36" t="str">
        <f>IFERROR(VLOOKUP(CONCATENATE(ФС!$A$3,J1),'Источник Рейтинг'!$A:$AG,12,0),"")</f>
        <v/>
      </c>
      <c r="K30" s="36" t="str">
        <f>IFERROR(VLOOKUP(CONCATENATE(ФС!$A$3,K1),'Источник Рейтинг'!$A:$AG,12,0),"")</f>
        <v/>
      </c>
      <c r="L30" s="36" t="str">
        <f>IFERROR(VLOOKUP(CONCATENATE(ФС!$A$3,L1),'Источник Рейтинг'!$A:$AG,12,0),"")</f>
        <v/>
      </c>
      <c r="M30" s="36" t="str">
        <f>IFERROR(VLOOKUP(CONCATENATE(ФС!$A$3,M1),'Источник Рейтинг'!$A:$AG,12,0),"")</f>
        <v/>
      </c>
      <c r="N30" s="36" t="str">
        <f>IFERROR(VLOOKUP(CONCATENATE(ФС!$A$3,N1),'Источник Рейтинг'!$A:$AG,12,0),"")</f>
        <v/>
      </c>
      <c r="O30" s="36" t="str">
        <f>IFERROR(VLOOKUP(CONCATENATE(ФС!$A$3,O1),'Источник Рейтинг'!$A:$AG,12,0),"")</f>
        <v/>
      </c>
      <c r="P30" s="36" t="str">
        <f>IFERROR(VLOOKUP(CONCATENATE(ФС!$A$3,P1),'Источник Рейтинг'!$A:$AG,12,0),"")</f>
        <v/>
      </c>
      <c r="Q30" s="36" t="str">
        <f>IFERROR(VLOOKUP(CONCATENATE(ФС!$A$3,Q1),'Источник Рейтинг'!$A:$AG,12,0),"")</f>
        <v/>
      </c>
      <c r="R30" s="36" t="str">
        <f>IFERROR(VLOOKUP(CONCATENATE(ФС!$A$3,R1),'Источник Рейтинг'!$A:$AG,12,0),"")</f>
        <v/>
      </c>
      <c r="S30" s="36" t="str">
        <f>IFERROR(VLOOKUP(CONCATENATE(ФС!$A$3,S1),'Источник Рейтинг'!$A:$AG,12,0),"")</f>
        <v/>
      </c>
      <c r="T30" s="36" t="str">
        <f>IFERROR(VLOOKUP(CONCATENATE(ФС!$A$3,T1),'Источник Рейтинг'!$A:$AG,12,0),"")</f>
        <v/>
      </c>
      <c r="U30" s="36" t="str">
        <f>IFERROR(VLOOKUP(CONCATENATE(ФС!$A$3,U1),'Источник Рейтинг'!$A:$AG,12,0),"")</f>
        <v/>
      </c>
      <c r="V30" s="36" t="str">
        <f>IFERROR(VLOOKUP(CONCATENATE(ФС!$A$3,V1),'Источник Рейтинг'!$A:$AG,12,0),"")</f>
        <v/>
      </c>
      <c r="W30" s="36" t="str">
        <f>IFERROR(VLOOKUP(CONCATENATE(ФС!$A$3,W1),'Источник Рейтинг'!$A:$AG,12,0),"")</f>
        <v/>
      </c>
      <c r="X30" s="36" t="str">
        <f>IFERROR(VLOOKUP(CONCATENATE(ФС!$A$3,X1),'Источник Рейтинг'!$A:$AG,12,0),"")</f>
        <v/>
      </c>
      <c r="Y30" s="36" t="str">
        <f>IFERROR(VLOOKUP(CONCATENATE(ФС!$A$3,Y1),'Источник Рейтинг'!$A:$AG,12,0),"")</f>
        <v/>
      </c>
      <c r="Z30" s="36" t="str">
        <f>IFERROR(VLOOKUP(CONCATENATE(ФС!$A$3,Z1),'Источник Рейтинг'!$A:$AG,12,0),"")</f>
        <v/>
      </c>
      <c r="AA30" s="36" t="str">
        <f>IFERROR(VLOOKUP(CONCATENATE(ФС!$A$3,AA1),'Источник Рейтинг'!$A:$AG,12,0),"")</f>
        <v/>
      </c>
      <c r="AB30" s="36" t="str">
        <f>IFERROR(VLOOKUP(CONCATENATE(ФС!$A$3,AB1),'Источник Рейтинг'!$A:$AG,12,0),"")</f>
        <v/>
      </c>
      <c r="AC30" s="36" t="str">
        <f>IFERROR(VLOOKUP(CONCATENATE(ФС!$A$3,AC1),'Источник Рейтинг'!$A:$AG,12,0),"")</f>
        <v/>
      </c>
      <c r="AD30" s="36" t="str">
        <f>IFERROR(VLOOKUP(CONCATENATE(ФС!$A$3,AD1),'Источник Рейтинг'!$A:$AG,12,0),"")</f>
        <v/>
      </c>
      <c r="AE30" s="36" t="str">
        <f>IFERROR(VLOOKUP(CONCATENATE(ФС!$A$3,AE1),'Источник Рейтинг'!$A:$AG,12,0),"")</f>
        <v/>
      </c>
    </row>
    <row r="33" spans="1:171" s="173" customFormat="1" ht="18.75" customHeight="1" x14ac:dyDescent="0.3">
      <c r="A33" s="13"/>
      <c r="B33" s="172" t="s">
        <v>84</v>
      </c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  <c r="DA33" s="172"/>
      <c r="DB33" s="172"/>
      <c r="DC33" s="172"/>
      <c r="DD33" s="172"/>
      <c r="DE33" s="172"/>
      <c r="DF33" s="172"/>
      <c r="DG33" s="172"/>
      <c r="DH33" s="172"/>
      <c r="DI33" s="172"/>
      <c r="DJ33" s="172"/>
      <c r="DK33" s="172"/>
      <c r="DL33" s="172"/>
      <c r="DM33" s="172"/>
      <c r="DN33" s="172"/>
      <c r="DO33" s="172"/>
      <c r="DP33" s="172"/>
      <c r="DQ33" s="172"/>
      <c r="DR33" s="172"/>
      <c r="DS33" s="172"/>
      <c r="DT33" s="172"/>
      <c r="DU33" s="172"/>
      <c r="DV33" s="172"/>
      <c r="DW33" s="172"/>
      <c r="DX33" s="172"/>
      <c r="DY33" s="172"/>
      <c r="DZ33" s="172"/>
      <c r="EA33" s="172"/>
      <c r="EB33" s="172"/>
      <c r="EC33" s="172"/>
      <c r="ED33" s="172"/>
      <c r="EE33" s="172"/>
      <c r="EF33" s="172"/>
      <c r="EG33" s="172"/>
      <c r="EH33" s="172"/>
      <c r="EI33" s="172"/>
      <c r="EJ33" s="172"/>
      <c r="EK33" s="172"/>
      <c r="EL33" s="172"/>
      <c r="EM33" s="172"/>
      <c r="EN33" s="172"/>
      <c r="EO33" s="172"/>
      <c r="EP33" s="172"/>
      <c r="EQ33" s="172"/>
      <c r="ER33" s="172"/>
      <c r="ES33" s="172"/>
      <c r="ET33" s="172"/>
      <c r="EU33" s="172"/>
      <c r="EV33" s="172"/>
      <c r="EW33" s="172"/>
      <c r="EX33" s="172"/>
      <c r="EY33" s="172"/>
      <c r="EZ33" s="172"/>
      <c r="FA33" s="172"/>
      <c r="FB33" s="172"/>
      <c r="FC33" s="172"/>
      <c r="FD33" s="172"/>
      <c r="FE33" s="172"/>
      <c r="FF33" s="172"/>
      <c r="FG33" s="172"/>
      <c r="FH33" s="172"/>
      <c r="FI33" s="172"/>
      <c r="FJ33" s="172"/>
      <c r="FK33" s="172"/>
      <c r="FL33" s="172"/>
      <c r="FM33" s="172"/>
      <c r="FN33" s="172"/>
      <c r="FO33" s="172"/>
    </row>
    <row r="34" spans="1:171" x14ac:dyDescent="0.25">
      <c r="A34" t="s">
        <v>20</v>
      </c>
      <c r="B34" s="1">
        <v>0.85</v>
      </c>
      <c r="C34" s="1">
        <v>0.85</v>
      </c>
      <c r="D34" s="1">
        <v>0.85</v>
      </c>
      <c r="E34" s="1">
        <v>0.85</v>
      </c>
      <c r="F34" s="1">
        <v>0.85</v>
      </c>
      <c r="G34" s="1">
        <v>0.85</v>
      </c>
      <c r="H34" s="1">
        <v>0.85</v>
      </c>
      <c r="I34" s="1">
        <v>0.85</v>
      </c>
      <c r="J34" s="1">
        <v>0.85</v>
      </c>
      <c r="K34" s="1">
        <v>0.85</v>
      </c>
      <c r="L34" s="1">
        <v>0.85</v>
      </c>
      <c r="M34" s="1">
        <v>0.85</v>
      </c>
      <c r="N34" s="1">
        <v>0.85</v>
      </c>
      <c r="O34" s="1">
        <v>0.85</v>
      </c>
      <c r="P34" s="1">
        <v>0.85</v>
      </c>
      <c r="Q34" s="1">
        <v>0.85</v>
      </c>
      <c r="R34" s="1">
        <v>0.85</v>
      </c>
      <c r="S34" s="1">
        <v>0.85</v>
      </c>
      <c r="T34" s="1">
        <v>0.85</v>
      </c>
      <c r="U34" s="1">
        <v>0.85</v>
      </c>
      <c r="V34" s="1">
        <v>0.85</v>
      </c>
      <c r="W34" s="1">
        <v>0.85</v>
      </c>
      <c r="X34" s="1">
        <v>0.85</v>
      </c>
      <c r="Y34" s="1">
        <v>0.85</v>
      </c>
      <c r="Z34" s="1">
        <v>0.85</v>
      </c>
      <c r="AA34" s="1">
        <v>0.85</v>
      </c>
      <c r="AB34" s="1">
        <v>0.85</v>
      </c>
      <c r="AC34" s="1">
        <v>0.85</v>
      </c>
      <c r="AD34" s="1">
        <v>0.85</v>
      </c>
      <c r="AE34" s="1">
        <v>0.85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171" s="36" customFormat="1" x14ac:dyDescent="0.25">
      <c r="A35" s="36" t="s">
        <v>53</v>
      </c>
      <c r="B35" s="36">
        <f>IFERROR(VLOOKUP(CONCATENATE(ФС!$A$3,B1),'Источник Рейтинг'!$A:$AG,9,0),"")</f>
        <v>0.67540983606557381</v>
      </c>
      <c r="C35" s="36">
        <f>IFERROR(VLOOKUP(CONCATENATE(ФС!$A$3,C1),'Источник Рейтинг'!$A:$AG,9,0),"")</f>
        <v>0.91319444444444442</v>
      </c>
      <c r="D35" s="36" t="str">
        <f>IFERROR(VLOOKUP(CONCATENATE(ФС!$A$3,D1),'Источник Рейтинг'!$A:$AG,9,0),"")</f>
        <v/>
      </c>
      <c r="E35" s="36" t="str">
        <f>IFERROR(VLOOKUP(CONCATENATE(ФС!$A$3,E1),'Источник Рейтинг'!$A:$AG,9,0),"")</f>
        <v/>
      </c>
      <c r="F35" s="36">
        <f>IFERROR(VLOOKUP(CONCATENATE(ФС!$A$3,F1),'Источник Рейтинг'!$A:$AG,9,0),"")</f>
        <v>0.89141414141414144</v>
      </c>
      <c r="G35" s="36">
        <f>IFERROR(VLOOKUP(CONCATENATE(ФС!$A$3,G1),'Источник Рейтинг'!$A:$AG,9,0),"")</f>
        <v>0.93117408906882593</v>
      </c>
      <c r="H35" s="36">
        <f>IFERROR(VLOOKUP(CONCATENATE(ФС!$A$3,H1),'Источник Рейтинг'!$A:$AG,9,0),"")</f>
        <v>0.83628318584070793</v>
      </c>
      <c r="I35" s="36" t="str">
        <f>IFERROR(VLOOKUP(CONCATENATE(ФС!$A$3,I1),'Источник Рейтинг'!$A:$AG,9,0),"")</f>
        <v/>
      </c>
      <c r="J35" s="36" t="str">
        <f>IFERROR(VLOOKUP(CONCATENATE(ФС!$A$3,J1),'Источник Рейтинг'!$A:$AG,9,0),"")</f>
        <v/>
      </c>
      <c r="K35" s="36" t="str">
        <f>IFERROR(VLOOKUP(CONCATENATE(ФС!$A$3,K1),'Источник Рейтинг'!$A:$AG,9,0),"")</f>
        <v/>
      </c>
      <c r="L35" s="36" t="str">
        <f>IFERROR(VLOOKUP(CONCATENATE(ФС!$A$3,L1),'Источник Рейтинг'!$A:$AG,9,0),"")</f>
        <v/>
      </c>
      <c r="M35" s="36" t="str">
        <f>IFERROR(VLOOKUP(CONCATENATE(ФС!$A$3,M1),'Источник Рейтинг'!$A:$AG,9,0),"")</f>
        <v/>
      </c>
      <c r="N35" s="36" t="str">
        <f>IFERROR(VLOOKUP(CONCATENATE(ФС!$A$3,N1),'Источник Рейтинг'!$A:$AG,9,0),"")</f>
        <v/>
      </c>
      <c r="O35" s="36" t="str">
        <f>IFERROR(VLOOKUP(CONCATENATE(ФС!$A$3,O1),'Источник Рейтинг'!$A:$AG,9,0),"")</f>
        <v/>
      </c>
      <c r="P35" s="36" t="str">
        <f>IFERROR(VLOOKUP(CONCATENATE(ФС!$A$3,P1),'Источник Рейтинг'!$A:$AG,9,0),"")</f>
        <v/>
      </c>
      <c r="Q35" s="36" t="str">
        <f>IFERROR(VLOOKUP(CONCATENATE(ФС!$A$3,Q1),'Источник Рейтинг'!$A:$AG,9,0),"")</f>
        <v/>
      </c>
      <c r="R35" s="36" t="str">
        <f>IFERROR(VLOOKUP(CONCATENATE(ФС!$A$3,R1),'Источник Рейтинг'!$A:$AG,9,0),"")</f>
        <v/>
      </c>
      <c r="S35" s="36" t="str">
        <f>IFERROR(VLOOKUP(CONCATENATE(ФС!$A$3,S1),'Источник Рейтинг'!$A:$AG,9,0),"")</f>
        <v/>
      </c>
      <c r="T35" s="36" t="str">
        <f>IFERROR(VLOOKUP(CONCATENATE(ФС!$A$3,T1),'Источник Рейтинг'!$A:$AG,9,0),"")</f>
        <v/>
      </c>
      <c r="U35" s="36" t="str">
        <f>IFERROR(VLOOKUP(CONCATENATE(ФС!$A$3,U1),'Источник Рейтинг'!$A:$AG,9,0),"")</f>
        <v/>
      </c>
      <c r="V35" s="36" t="str">
        <f>IFERROR(VLOOKUP(CONCATENATE(ФС!$A$3,V1),'Источник Рейтинг'!$A:$AG,9,0),"")</f>
        <v/>
      </c>
      <c r="W35" s="36" t="str">
        <f>IFERROR(VLOOKUP(CONCATENATE(ФС!$A$3,W1),'Источник Рейтинг'!$A:$AG,9,0),"")</f>
        <v/>
      </c>
      <c r="X35" s="36" t="str">
        <f>IFERROR(VLOOKUP(CONCATENATE(ФС!$A$3,X1),'Источник Рейтинг'!$A:$AG,9,0),"")</f>
        <v/>
      </c>
      <c r="Y35" s="36" t="str">
        <f>IFERROR(VLOOKUP(CONCATENATE(ФС!$A$3,Y1),'Источник Рейтинг'!$A:$AG,9,0),"")</f>
        <v/>
      </c>
      <c r="Z35" s="36" t="str">
        <f>IFERROR(VLOOKUP(CONCATENATE(ФС!$A$3,Z1),'Источник Рейтинг'!$A:$AG,9,0),"")</f>
        <v/>
      </c>
      <c r="AA35" s="36" t="str">
        <f>IFERROR(VLOOKUP(CONCATENATE(ФС!$A$3,AA1),'Источник Рейтинг'!$A:$AG,9,0),"")</f>
        <v/>
      </c>
      <c r="AB35" s="36" t="str">
        <f>IFERROR(VLOOKUP(CONCATENATE(ФС!$A$3,AB1),'Источник Рейтинг'!$A:$AG,9,0),"")</f>
        <v/>
      </c>
      <c r="AC35" s="36" t="str">
        <f>IFERROR(VLOOKUP(CONCATENATE(ФС!$A$3,AC1),'Источник Рейтинг'!$A:$AG,9,0),"")</f>
        <v/>
      </c>
      <c r="AD35" s="36" t="str">
        <f>IFERROR(VLOOKUP(CONCATENATE(ФС!$A$3,AD1),'Источник Рейтинг'!$A:$AG,9,0),"")</f>
        <v/>
      </c>
      <c r="AE35" s="36" t="str">
        <f>IFERROR(VLOOKUP(CONCATENATE(ФС!$A$3,AE1),'Источник Рейтинг'!$A:$AG,9,0),"")</f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B15"/>
  <sheetViews>
    <sheetView workbookViewId="0">
      <selection activeCell="C14" sqref="C14"/>
    </sheetView>
  </sheetViews>
  <sheetFormatPr defaultRowHeight="15" x14ac:dyDescent="0.25"/>
  <cols>
    <col min="2" max="2" width="25" customWidth="1"/>
  </cols>
  <sheetData>
    <row r="2" spans="2:2" ht="21" x14ac:dyDescent="0.35">
      <c r="B2" s="40" t="s">
        <v>5</v>
      </c>
    </row>
    <row r="3" spans="2:2" ht="21" x14ac:dyDescent="0.35">
      <c r="B3" s="40" t="s">
        <v>6</v>
      </c>
    </row>
    <row r="4" spans="2:2" ht="21" x14ac:dyDescent="0.35">
      <c r="B4" s="40" t="s">
        <v>7</v>
      </c>
    </row>
    <row r="5" spans="2:2" ht="21" x14ac:dyDescent="0.35">
      <c r="B5" s="40" t="s">
        <v>8</v>
      </c>
    </row>
    <row r="6" spans="2:2" ht="21" x14ac:dyDescent="0.35">
      <c r="B6" s="40" t="s">
        <v>37</v>
      </c>
    </row>
    <row r="7" spans="2:2" ht="21" x14ac:dyDescent="0.35">
      <c r="B7" s="40" t="s">
        <v>38</v>
      </c>
    </row>
    <row r="8" spans="2:2" ht="21" x14ac:dyDescent="0.35">
      <c r="B8" s="40" t="s">
        <v>9</v>
      </c>
    </row>
    <row r="9" spans="2:2" ht="21" x14ac:dyDescent="0.35">
      <c r="B9" s="40" t="s">
        <v>10</v>
      </c>
    </row>
    <row r="10" spans="2:2" ht="21" x14ac:dyDescent="0.35">
      <c r="B10" s="40" t="s">
        <v>39</v>
      </c>
    </row>
    <row r="11" spans="2:2" ht="21" x14ac:dyDescent="0.35">
      <c r="B11" s="40" t="s">
        <v>11</v>
      </c>
    </row>
    <row r="12" spans="2:2" ht="21" x14ac:dyDescent="0.35">
      <c r="B12" s="40" t="s">
        <v>12</v>
      </c>
    </row>
    <row r="13" spans="2:2" ht="21" x14ac:dyDescent="0.35">
      <c r="B13" s="40" t="s">
        <v>13</v>
      </c>
    </row>
    <row r="14" spans="2:2" ht="21" x14ac:dyDescent="0.35">
      <c r="B14" s="40" t="s">
        <v>14</v>
      </c>
    </row>
    <row r="15" spans="2:2" ht="21" x14ac:dyDescent="0.35">
      <c r="B15" s="40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69"/>
  <sheetViews>
    <sheetView workbookViewId="0">
      <pane ySplit="2" topLeftCell="A33" activePane="bottomLeft" state="frozenSplit"/>
      <selection activeCell="H1" sqref="H1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 t="s">
        <v>95</v>
      </c>
      <c r="E3" s="124">
        <v>2</v>
      </c>
      <c r="F3" s="124">
        <v>2</v>
      </c>
      <c r="G3" s="124" t="s">
        <v>95</v>
      </c>
    </row>
    <row r="4" spans="1:7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30</v>
      </c>
      <c r="E4" s="124">
        <v>30</v>
      </c>
      <c r="F4" s="124">
        <v>21</v>
      </c>
      <c r="G4" s="124">
        <v>30</v>
      </c>
    </row>
    <row r="5" spans="1:7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216</v>
      </c>
      <c r="E5" s="124">
        <v>99</v>
      </c>
      <c r="F5" s="124">
        <v>66</v>
      </c>
      <c r="G5" s="124">
        <v>42</v>
      </c>
    </row>
    <row r="6" spans="1:7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86</v>
      </c>
      <c r="E6" s="124">
        <v>45</v>
      </c>
      <c r="F6" s="124">
        <v>44</v>
      </c>
      <c r="G6" s="124">
        <v>37</v>
      </c>
    </row>
    <row r="7" spans="1:7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30</v>
      </c>
      <c r="E7" s="124">
        <v>30</v>
      </c>
      <c r="F7" s="124">
        <v>28</v>
      </c>
      <c r="G7" s="124">
        <v>30</v>
      </c>
    </row>
    <row r="8" spans="1:7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26</v>
      </c>
      <c r="E8" s="124">
        <v>14</v>
      </c>
      <c r="F8" s="124">
        <v>14</v>
      </c>
      <c r="G8" s="124">
        <v>13</v>
      </c>
    </row>
    <row r="9" spans="1:7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159</v>
      </c>
      <c r="E9" s="124">
        <v>78</v>
      </c>
      <c r="F9" s="124">
        <v>78</v>
      </c>
      <c r="G9" s="124">
        <v>56</v>
      </c>
    </row>
    <row r="10" spans="1:7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90</v>
      </c>
      <c r="E10" s="124">
        <v>85</v>
      </c>
      <c r="F10" s="124">
        <v>85</v>
      </c>
      <c r="G10" s="124">
        <v>85</v>
      </c>
    </row>
    <row r="11" spans="1:7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40</v>
      </c>
      <c r="E11" s="124">
        <v>63</v>
      </c>
      <c r="F11" s="124">
        <v>55</v>
      </c>
      <c r="G11" s="124">
        <v>40</v>
      </c>
    </row>
    <row r="12" spans="1:7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27</v>
      </c>
      <c r="E12" s="124">
        <v>24</v>
      </c>
      <c r="F12" s="124">
        <v>20</v>
      </c>
      <c r="G12" s="124">
        <v>22</v>
      </c>
    </row>
    <row r="13" spans="1:7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25</v>
      </c>
      <c r="E13" s="124">
        <v>26</v>
      </c>
      <c r="F13" s="124">
        <v>17</v>
      </c>
      <c r="G13" s="124">
        <v>24</v>
      </c>
    </row>
    <row r="14" spans="1:7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32</v>
      </c>
      <c r="E14" s="124">
        <v>27</v>
      </c>
      <c r="F14" s="124">
        <v>27</v>
      </c>
      <c r="G14" s="124">
        <v>27</v>
      </c>
    </row>
    <row r="15" spans="1:7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77</v>
      </c>
      <c r="E15" s="124">
        <v>81</v>
      </c>
      <c r="F15" s="124">
        <v>79</v>
      </c>
      <c r="G15" s="124">
        <v>77</v>
      </c>
    </row>
    <row r="16" spans="1:7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 t="s">
        <v>95</v>
      </c>
      <c r="E16" s="124">
        <v>56</v>
      </c>
      <c r="F16" s="124">
        <v>54</v>
      </c>
      <c r="G16" s="124" t="s">
        <v>95</v>
      </c>
    </row>
    <row r="17" spans="1:7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 t="s">
        <v>95</v>
      </c>
      <c r="E17" s="124">
        <v>1</v>
      </c>
      <c r="F17" s="124">
        <v>1</v>
      </c>
      <c r="G17" s="124" t="s">
        <v>95</v>
      </c>
    </row>
    <row r="18" spans="1:7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47</v>
      </c>
      <c r="E18" s="124">
        <v>48</v>
      </c>
      <c r="F18" s="124">
        <v>39</v>
      </c>
      <c r="G18" s="124">
        <v>47</v>
      </c>
    </row>
    <row r="19" spans="1:7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29</v>
      </c>
      <c r="E19" s="124">
        <v>83</v>
      </c>
      <c r="F19" s="124">
        <v>76</v>
      </c>
      <c r="G19" s="124">
        <v>16</v>
      </c>
    </row>
    <row r="20" spans="1:7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49</v>
      </c>
      <c r="E20" s="124">
        <v>46</v>
      </c>
      <c r="F20" s="124">
        <v>46</v>
      </c>
      <c r="G20" s="124">
        <v>46</v>
      </c>
    </row>
    <row r="21" spans="1:7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31</v>
      </c>
      <c r="E21" s="124">
        <v>29</v>
      </c>
      <c r="F21" s="124">
        <v>25</v>
      </c>
      <c r="G21" s="124">
        <v>29</v>
      </c>
    </row>
    <row r="22" spans="1:7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92</v>
      </c>
      <c r="E22" s="124">
        <v>63</v>
      </c>
      <c r="F22" s="124">
        <v>63</v>
      </c>
      <c r="G22" s="124">
        <v>63</v>
      </c>
    </row>
    <row r="23" spans="1:7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46</v>
      </c>
      <c r="E23" s="124">
        <v>61</v>
      </c>
      <c r="F23" s="124">
        <v>59</v>
      </c>
      <c r="G23" s="124">
        <v>24</v>
      </c>
    </row>
    <row r="24" spans="1:7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71</v>
      </c>
      <c r="E24" s="124">
        <v>69</v>
      </c>
      <c r="F24" s="124">
        <v>69</v>
      </c>
      <c r="G24" s="124">
        <v>69</v>
      </c>
    </row>
    <row r="25" spans="1:7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64</v>
      </c>
      <c r="E25" s="124">
        <v>78</v>
      </c>
      <c r="F25" s="124">
        <v>69</v>
      </c>
      <c r="G25" s="124">
        <v>60</v>
      </c>
    </row>
    <row r="26" spans="1:7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29</v>
      </c>
      <c r="E26" s="124">
        <v>28</v>
      </c>
      <c r="F26" s="124">
        <v>27</v>
      </c>
      <c r="G26" s="124">
        <v>24</v>
      </c>
    </row>
    <row r="27" spans="1:7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19</v>
      </c>
      <c r="E27" s="124">
        <v>20</v>
      </c>
      <c r="F27" s="124">
        <v>15</v>
      </c>
      <c r="G27" s="124">
        <v>18</v>
      </c>
    </row>
    <row r="28" spans="1:7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29</v>
      </c>
      <c r="E28" s="124">
        <v>27</v>
      </c>
      <c r="F28" s="124">
        <v>27</v>
      </c>
      <c r="G28" s="124">
        <v>23</v>
      </c>
    </row>
    <row r="29" spans="1:7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67</v>
      </c>
      <c r="E29" s="124">
        <v>68</v>
      </c>
      <c r="F29" s="124">
        <v>68</v>
      </c>
      <c r="G29" s="124">
        <v>67</v>
      </c>
    </row>
    <row r="30" spans="1:7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44</v>
      </c>
      <c r="E30" s="124">
        <v>65</v>
      </c>
      <c r="F30" s="124">
        <v>65</v>
      </c>
      <c r="G30" s="124">
        <v>42</v>
      </c>
    </row>
    <row r="31" spans="1:7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54</v>
      </c>
      <c r="E31" s="124">
        <v>54</v>
      </c>
      <c r="F31" s="124">
        <v>42</v>
      </c>
      <c r="G31" s="124">
        <v>54</v>
      </c>
    </row>
    <row r="32" spans="1:7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128</v>
      </c>
      <c r="E32" s="124">
        <v>154</v>
      </c>
      <c r="F32" s="124">
        <v>134</v>
      </c>
      <c r="G32" s="124">
        <v>59</v>
      </c>
    </row>
    <row r="33" spans="1:7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73</v>
      </c>
      <c r="E33" s="124">
        <v>85</v>
      </c>
      <c r="F33" s="124">
        <v>85</v>
      </c>
      <c r="G33" s="124">
        <v>69</v>
      </c>
    </row>
    <row r="34" spans="1:7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92</v>
      </c>
      <c r="E34" s="124">
        <v>51</v>
      </c>
      <c r="F34" s="124">
        <v>48</v>
      </c>
      <c r="G34" s="124">
        <v>46</v>
      </c>
    </row>
    <row r="35" spans="1:7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84</v>
      </c>
      <c r="E35" s="124">
        <v>75</v>
      </c>
      <c r="F35" s="124">
        <v>75</v>
      </c>
      <c r="G35" s="124">
        <v>75</v>
      </c>
    </row>
    <row r="36" spans="1:7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76</v>
      </c>
      <c r="E36" s="124">
        <v>66</v>
      </c>
      <c r="F36" s="124">
        <v>62</v>
      </c>
      <c r="G36" s="124">
        <v>64</v>
      </c>
    </row>
    <row r="37" spans="1:7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98</v>
      </c>
      <c r="E37" s="124">
        <v>92</v>
      </c>
      <c r="F37" s="124">
        <v>92</v>
      </c>
      <c r="G37" s="124">
        <v>92</v>
      </c>
    </row>
    <row r="38" spans="1:7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66</v>
      </c>
      <c r="E38" s="124">
        <v>77</v>
      </c>
      <c r="F38" s="124">
        <v>70</v>
      </c>
      <c r="G38" s="124">
        <v>52</v>
      </c>
    </row>
    <row r="39" spans="1:7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46</v>
      </c>
      <c r="E39" s="124">
        <v>42</v>
      </c>
      <c r="F39" s="124">
        <v>41</v>
      </c>
      <c r="G39" s="124">
        <v>41</v>
      </c>
    </row>
    <row r="40" spans="1:7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23</v>
      </c>
      <c r="E40" s="124">
        <v>22</v>
      </c>
      <c r="F40" s="124">
        <v>16</v>
      </c>
      <c r="G40" s="124">
        <v>21</v>
      </c>
    </row>
    <row r="41" spans="1:7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42</v>
      </c>
      <c r="E41" s="124">
        <v>44</v>
      </c>
      <c r="F41" s="124">
        <v>44</v>
      </c>
      <c r="G41" s="124">
        <v>42</v>
      </c>
    </row>
    <row r="42" spans="1:7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97</v>
      </c>
      <c r="E42" s="124">
        <v>99</v>
      </c>
      <c r="F42" s="124">
        <v>98</v>
      </c>
      <c r="G42" s="124">
        <v>92</v>
      </c>
    </row>
    <row r="43" spans="1:7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72</v>
      </c>
      <c r="E43" s="124">
        <v>76</v>
      </c>
      <c r="F43" s="124">
        <v>75</v>
      </c>
      <c r="G43" s="124">
        <v>63</v>
      </c>
    </row>
    <row r="44" spans="1:7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74</v>
      </c>
      <c r="E44" s="124">
        <v>74</v>
      </c>
      <c r="F44" s="124">
        <v>65</v>
      </c>
      <c r="G44" s="124">
        <v>74</v>
      </c>
    </row>
    <row r="45" spans="1:7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26</v>
      </c>
      <c r="E45" s="124">
        <v>115</v>
      </c>
      <c r="F45" s="124">
        <v>99</v>
      </c>
      <c r="G45" s="124">
        <v>6</v>
      </c>
    </row>
    <row r="46" spans="1:7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77</v>
      </c>
      <c r="E46" s="124">
        <v>77</v>
      </c>
      <c r="F46" s="124">
        <v>77</v>
      </c>
      <c r="G46" s="124">
        <v>77</v>
      </c>
    </row>
    <row r="47" spans="1:7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53</v>
      </c>
      <c r="E47" s="124">
        <v>48</v>
      </c>
      <c r="F47" s="124">
        <v>42</v>
      </c>
      <c r="G47" s="124">
        <v>48</v>
      </c>
    </row>
    <row r="48" spans="1:7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72</v>
      </c>
      <c r="E48" s="124">
        <v>57</v>
      </c>
      <c r="F48" s="124">
        <v>56</v>
      </c>
      <c r="G48" s="124">
        <v>56</v>
      </c>
    </row>
    <row r="49" spans="1:7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91</v>
      </c>
      <c r="E49" s="124">
        <v>75</v>
      </c>
      <c r="F49" s="124">
        <v>74</v>
      </c>
      <c r="G49" s="124">
        <v>58</v>
      </c>
    </row>
    <row r="50" spans="1:7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91</v>
      </c>
      <c r="E50" s="124">
        <v>90</v>
      </c>
      <c r="F50" s="124">
        <v>90</v>
      </c>
      <c r="G50" s="124">
        <v>90</v>
      </c>
    </row>
    <row r="51" spans="1:7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65</v>
      </c>
      <c r="E51" s="124">
        <v>69</v>
      </c>
      <c r="F51" s="124">
        <v>61</v>
      </c>
      <c r="G51" s="124">
        <v>53</v>
      </c>
    </row>
    <row r="52" spans="1:7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38</v>
      </c>
      <c r="E52" s="124">
        <v>32</v>
      </c>
      <c r="F52" s="124">
        <v>24</v>
      </c>
      <c r="G52" s="124">
        <v>31</v>
      </c>
    </row>
    <row r="53" spans="1:7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15</v>
      </c>
      <c r="E53" s="124">
        <v>19</v>
      </c>
      <c r="F53" s="124">
        <v>16</v>
      </c>
      <c r="G53" s="124">
        <v>15</v>
      </c>
    </row>
    <row r="54" spans="1:7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45</v>
      </c>
      <c r="E54" s="124">
        <v>44</v>
      </c>
      <c r="F54" s="124">
        <v>44</v>
      </c>
      <c r="G54" s="124">
        <v>42</v>
      </c>
    </row>
    <row r="55" spans="1:7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86</v>
      </c>
      <c r="E55" s="124">
        <v>88</v>
      </c>
      <c r="F55" s="124">
        <v>87</v>
      </c>
      <c r="G55" s="124">
        <v>81</v>
      </c>
    </row>
    <row r="56" spans="1:7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82</v>
      </c>
      <c r="E56" s="124">
        <v>86</v>
      </c>
      <c r="F56" s="124">
        <v>84</v>
      </c>
      <c r="G56" s="124">
        <v>80</v>
      </c>
    </row>
    <row r="57" spans="1:7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75</v>
      </c>
      <c r="E57" s="124">
        <v>74</v>
      </c>
      <c r="F57" s="124">
        <v>65</v>
      </c>
      <c r="G57" s="124">
        <v>74</v>
      </c>
    </row>
    <row r="58" spans="1:7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111</v>
      </c>
      <c r="E58" s="124">
        <v>119</v>
      </c>
      <c r="F58" s="124">
        <v>105</v>
      </c>
      <c r="G58" s="124">
        <v>55</v>
      </c>
    </row>
    <row r="59" spans="1:7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53</v>
      </c>
      <c r="E59" s="124">
        <v>53</v>
      </c>
      <c r="F59" s="124">
        <v>52</v>
      </c>
      <c r="G59" s="124">
        <v>53</v>
      </c>
    </row>
    <row r="60" spans="1:7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57</v>
      </c>
      <c r="E60" s="124">
        <v>48</v>
      </c>
      <c r="F60" s="124">
        <v>46</v>
      </c>
      <c r="G60" s="124">
        <v>48</v>
      </c>
    </row>
    <row r="61" spans="1:7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78</v>
      </c>
      <c r="E61" s="124">
        <v>70</v>
      </c>
      <c r="F61" s="124">
        <v>69</v>
      </c>
      <c r="G61" s="124">
        <v>70</v>
      </c>
    </row>
    <row r="62" spans="1:7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74</v>
      </c>
      <c r="E62" s="124">
        <v>70</v>
      </c>
      <c r="F62" s="124">
        <v>70</v>
      </c>
      <c r="G62" s="124">
        <v>70</v>
      </c>
    </row>
    <row r="63" spans="1:7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62</v>
      </c>
      <c r="E63" s="124">
        <v>58</v>
      </c>
      <c r="F63" s="124">
        <v>58</v>
      </c>
      <c r="G63" s="124">
        <v>58</v>
      </c>
    </row>
    <row r="64" spans="1:7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48</v>
      </c>
      <c r="E64" s="124">
        <v>52</v>
      </c>
      <c r="F64" s="124">
        <v>50</v>
      </c>
      <c r="G64" s="124">
        <v>36</v>
      </c>
    </row>
    <row r="65" spans="1:7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28</v>
      </c>
      <c r="E65" s="124">
        <v>24</v>
      </c>
      <c r="F65" s="124">
        <v>23</v>
      </c>
      <c r="G65" s="124">
        <v>23</v>
      </c>
    </row>
    <row r="66" spans="1:7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20</v>
      </c>
      <c r="E66" s="124">
        <v>19</v>
      </c>
      <c r="F66" s="124">
        <v>18</v>
      </c>
      <c r="G66" s="124">
        <v>18</v>
      </c>
    </row>
    <row r="67" spans="1:7" x14ac:dyDescent="0.25">
      <c r="A67" s="123" t="str">
        <f t="shared" ref="A67:A69" si="1">C67&amp;B67</f>
        <v>Тула44811</v>
      </c>
      <c r="B67" s="121">
        <v>44811</v>
      </c>
      <c r="C67" s="124" t="s">
        <v>12</v>
      </c>
      <c r="D67" s="124">
        <v>31</v>
      </c>
      <c r="E67" s="124">
        <v>26</v>
      </c>
      <c r="F67" s="124">
        <v>25</v>
      </c>
      <c r="G67" s="124">
        <v>25</v>
      </c>
    </row>
    <row r="68" spans="1:7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70</v>
      </c>
      <c r="E68" s="124">
        <v>74</v>
      </c>
      <c r="F68" s="124">
        <v>73</v>
      </c>
      <c r="G68" s="124">
        <v>70</v>
      </c>
    </row>
    <row r="69" spans="1:7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77</v>
      </c>
      <c r="E69" s="124">
        <v>72</v>
      </c>
      <c r="F69" s="124">
        <v>72</v>
      </c>
      <c r="G69" s="124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G66"/>
  <sheetViews>
    <sheetView workbookViewId="0">
      <pane ySplit="2" topLeftCell="A36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Воронеж44805</v>
      </c>
      <c r="B3" s="121">
        <v>44805</v>
      </c>
      <c r="C3" s="124" t="s">
        <v>5</v>
      </c>
      <c r="D3" s="124">
        <v>14</v>
      </c>
      <c r="E3" s="124">
        <v>14</v>
      </c>
      <c r="F3" s="124">
        <v>6</v>
      </c>
      <c r="G3" s="124">
        <v>14</v>
      </c>
    </row>
    <row r="4" spans="1:7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57</v>
      </c>
      <c r="E4" s="124">
        <v>35</v>
      </c>
      <c r="F4" s="124">
        <v>19</v>
      </c>
      <c r="G4" s="124">
        <v>9</v>
      </c>
    </row>
    <row r="5" spans="1:7" x14ac:dyDescent="0.25">
      <c r="A5" s="123" t="str">
        <f t="shared" si="0"/>
        <v>Липецк44805</v>
      </c>
      <c r="B5" s="121">
        <v>44805</v>
      </c>
      <c r="C5" s="124" t="s">
        <v>7</v>
      </c>
      <c r="D5" s="124">
        <v>28</v>
      </c>
      <c r="E5" s="124">
        <v>13</v>
      </c>
      <c r="F5" s="124">
        <v>13</v>
      </c>
      <c r="G5" s="124">
        <v>11</v>
      </c>
    </row>
    <row r="6" spans="1:7" x14ac:dyDescent="0.25">
      <c r="A6" s="123" t="str">
        <f t="shared" si="0"/>
        <v>Москва44805</v>
      </c>
      <c r="B6" s="121">
        <v>44805</v>
      </c>
      <c r="C6" s="124" t="s">
        <v>8</v>
      </c>
      <c r="D6" s="124">
        <v>8</v>
      </c>
      <c r="E6" s="124">
        <v>8</v>
      </c>
      <c r="F6" s="124">
        <v>8</v>
      </c>
      <c r="G6" s="124">
        <v>8</v>
      </c>
    </row>
    <row r="7" spans="1:7" x14ac:dyDescent="0.25">
      <c r="A7" s="123" t="str">
        <f t="shared" si="0"/>
        <v>Нижний Новгород44805</v>
      </c>
      <c r="B7" s="121">
        <v>44805</v>
      </c>
      <c r="C7" s="124" t="s">
        <v>38</v>
      </c>
      <c r="D7" s="124">
        <v>51</v>
      </c>
      <c r="E7" s="124">
        <v>23</v>
      </c>
      <c r="F7" s="124">
        <v>22</v>
      </c>
      <c r="G7" s="124">
        <v>20</v>
      </c>
    </row>
    <row r="8" spans="1:7" x14ac:dyDescent="0.25">
      <c r="A8" s="123" t="str">
        <f t="shared" si="0"/>
        <v>Самара44805</v>
      </c>
      <c r="B8" s="121">
        <v>44805</v>
      </c>
      <c r="C8" s="124" t="s">
        <v>9</v>
      </c>
      <c r="D8" s="124">
        <v>54</v>
      </c>
      <c r="E8" s="124">
        <v>51</v>
      </c>
      <c r="F8" s="124">
        <v>51</v>
      </c>
      <c r="G8" s="124">
        <v>51</v>
      </c>
    </row>
    <row r="9" spans="1:7" x14ac:dyDescent="0.25">
      <c r="A9" s="123" t="str">
        <f t="shared" si="0"/>
        <v>Саратов44805</v>
      </c>
      <c r="B9" s="121">
        <v>44805</v>
      </c>
      <c r="C9" s="124" t="s">
        <v>10</v>
      </c>
      <c r="D9" s="124">
        <v>15</v>
      </c>
      <c r="E9" s="124">
        <v>24</v>
      </c>
      <c r="F9" s="124">
        <v>21</v>
      </c>
      <c r="G9" s="124">
        <v>15</v>
      </c>
    </row>
    <row r="10" spans="1:7" x14ac:dyDescent="0.25">
      <c r="A10" s="123" t="str">
        <f t="shared" si="0"/>
        <v>Старый Оскол44805</v>
      </c>
      <c r="B10" s="121">
        <v>44805</v>
      </c>
      <c r="C10" s="124" t="s">
        <v>39</v>
      </c>
      <c r="D10" s="124">
        <v>2</v>
      </c>
      <c r="E10" s="124">
        <v>2</v>
      </c>
      <c r="F10" s="124">
        <v>2</v>
      </c>
      <c r="G10" s="124">
        <v>2</v>
      </c>
    </row>
    <row r="11" spans="1:7" x14ac:dyDescent="0.25">
      <c r="A11" s="123" t="str">
        <f t="shared" si="0"/>
        <v>Тольятти44805</v>
      </c>
      <c r="B11" s="121">
        <v>44805</v>
      </c>
      <c r="C11" s="124" t="s">
        <v>11</v>
      </c>
      <c r="D11" s="124">
        <v>6</v>
      </c>
      <c r="E11" s="124">
        <v>6</v>
      </c>
      <c r="F11" s="124">
        <v>5</v>
      </c>
      <c r="G11" s="124">
        <v>6</v>
      </c>
    </row>
    <row r="12" spans="1:7" x14ac:dyDescent="0.25">
      <c r="A12" s="123" t="str">
        <f t="shared" si="0"/>
        <v>Тула44805</v>
      </c>
      <c r="B12" s="121">
        <v>44805</v>
      </c>
      <c r="C12" s="124" t="s">
        <v>12</v>
      </c>
      <c r="D12" s="124">
        <v>11</v>
      </c>
      <c r="E12" s="124">
        <v>11</v>
      </c>
      <c r="F12" s="124">
        <v>11</v>
      </c>
      <c r="G12" s="124">
        <v>11</v>
      </c>
    </row>
    <row r="13" spans="1:7" x14ac:dyDescent="0.25">
      <c r="A13" s="123" t="str">
        <f t="shared" si="0"/>
        <v>Уфа44805</v>
      </c>
      <c r="B13" s="121">
        <v>44805</v>
      </c>
      <c r="C13" s="124" t="s">
        <v>13</v>
      </c>
      <c r="D13" s="124">
        <v>59</v>
      </c>
      <c r="E13" s="124">
        <v>62</v>
      </c>
      <c r="F13" s="124">
        <v>61</v>
      </c>
      <c r="G13" s="124">
        <v>59</v>
      </c>
    </row>
    <row r="14" spans="1:7" x14ac:dyDescent="0.25">
      <c r="A14" s="123" t="str">
        <f t="shared" si="0"/>
        <v>Ярославль44805</v>
      </c>
      <c r="B14" s="121">
        <v>44805</v>
      </c>
      <c r="C14" s="124" t="s">
        <v>14</v>
      </c>
      <c r="D14" s="124" t="s">
        <v>95</v>
      </c>
      <c r="E14" s="124">
        <v>6</v>
      </c>
      <c r="F14" s="124">
        <v>6</v>
      </c>
      <c r="G14" s="124" t="s">
        <v>95</v>
      </c>
    </row>
    <row r="15" spans="1:7" x14ac:dyDescent="0.25">
      <c r="A15" s="123" t="str">
        <f t="shared" si="0"/>
        <v>Воронеж44806</v>
      </c>
      <c r="B15" s="121">
        <v>44806</v>
      </c>
      <c r="C15" s="124" t="s">
        <v>5</v>
      </c>
      <c r="D15" s="124">
        <v>32</v>
      </c>
      <c r="E15" s="124">
        <v>32</v>
      </c>
      <c r="F15" s="124">
        <v>24</v>
      </c>
      <c r="G15" s="124">
        <v>32</v>
      </c>
    </row>
    <row r="16" spans="1:7" x14ac:dyDescent="0.25">
      <c r="A16" s="123" t="str">
        <f t="shared" si="0"/>
        <v>Калининград44806</v>
      </c>
      <c r="B16" s="121">
        <v>44806</v>
      </c>
      <c r="C16" s="124" t="s">
        <v>6</v>
      </c>
      <c r="D16" s="124">
        <v>9</v>
      </c>
      <c r="E16" s="124">
        <v>30</v>
      </c>
      <c r="F16" s="124">
        <v>28</v>
      </c>
      <c r="G16" s="124">
        <v>5</v>
      </c>
    </row>
    <row r="17" spans="1:7" x14ac:dyDescent="0.25">
      <c r="A17" s="123" t="str">
        <f t="shared" si="0"/>
        <v>Липецк44806</v>
      </c>
      <c r="B17" s="121">
        <v>44806</v>
      </c>
      <c r="C17" s="124" t="s">
        <v>7</v>
      </c>
      <c r="D17" s="124">
        <v>25</v>
      </c>
      <c r="E17" s="124">
        <v>24</v>
      </c>
      <c r="F17" s="124">
        <v>24</v>
      </c>
      <c r="G17" s="124">
        <v>24</v>
      </c>
    </row>
    <row r="18" spans="1:7" x14ac:dyDescent="0.25">
      <c r="A18" s="123" t="str">
        <f t="shared" si="0"/>
        <v>Москва44806</v>
      </c>
      <c r="B18" s="121">
        <v>44806</v>
      </c>
      <c r="C18" s="124" t="s">
        <v>8</v>
      </c>
      <c r="D18" s="124">
        <v>2</v>
      </c>
      <c r="E18" s="124">
        <v>2</v>
      </c>
      <c r="F18" s="124">
        <v>2</v>
      </c>
      <c r="G18" s="124">
        <v>2</v>
      </c>
    </row>
    <row r="19" spans="1:7" x14ac:dyDescent="0.25">
      <c r="A19" s="123" t="str">
        <f t="shared" si="0"/>
        <v>Наб.Челны44806</v>
      </c>
      <c r="B19" s="121">
        <v>44806</v>
      </c>
      <c r="C19" s="124" t="s">
        <v>37</v>
      </c>
      <c r="D19" s="124">
        <v>45</v>
      </c>
      <c r="E19" s="124">
        <v>42</v>
      </c>
      <c r="F19" s="124">
        <v>42</v>
      </c>
      <c r="G19" s="124">
        <v>42</v>
      </c>
    </row>
    <row r="20" spans="1:7" x14ac:dyDescent="0.25">
      <c r="A20" s="123" t="str">
        <f t="shared" si="0"/>
        <v>Нижний Новгород44806</v>
      </c>
      <c r="B20" s="121">
        <v>44806</v>
      </c>
      <c r="C20" s="124" t="s">
        <v>38</v>
      </c>
      <c r="D20" s="124">
        <v>27</v>
      </c>
      <c r="E20" s="124">
        <v>26</v>
      </c>
      <c r="F20" s="124">
        <v>25</v>
      </c>
      <c r="G20" s="124">
        <v>12</v>
      </c>
    </row>
    <row r="21" spans="1:7" x14ac:dyDescent="0.25">
      <c r="A21" s="123" t="str">
        <f t="shared" si="0"/>
        <v>Самара44806</v>
      </c>
      <c r="B21" s="121">
        <v>44806</v>
      </c>
      <c r="C21" s="124" t="s">
        <v>9</v>
      </c>
      <c r="D21" s="124">
        <v>36</v>
      </c>
      <c r="E21" s="124">
        <v>35</v>
      </c>
      <c r="F21" s="124">
        <v>35</v>
      </c>
      <c r="G21" s="124">
        <v>35</v>
      </c>
    </row>
    <row r="22" spans="1:7" x14ac:dyDescent="0.25">
      <c r="A22" s="123" t="str">
        <f t="shared" si="0"/>
        <v>Саратов44806</v>
      </c>
      <c r="B22" s="121">
        <v>44806</v>
      </c>
      <c r="C22" s="124" t="s">
        <v>10</v>
      </c>
      <c r="D22" s="124">
        <v>30</v>
      </c>
      <c r="E22" s="124">
        <v>39</v>
      </c>
      <c r="F22" s="124">
        <v>34</v>
      </c>
      <c r="G22" s="124">
        <v>30</v>
      </c>
    </row>
    <row r="23" spans="1:7" x14ac:dyDescent="0.25">
      <c r="A23" s="123" t="str">
        <f t="shared" si="0"/>
        <v>Старый Оскол44806</v>
      </c>
      <c r="B23" s="121">
        <v>44806</v>
      </c>
      <c r="C23" s="124" t="s">
        <v>39</v>
      </c>
      <c r="D23" s="124">
        <v>8</v>
      </c>
      <c r="E23" s="124">
        <v>9</v>
      </c>
      <c r="F23" s="124">
        <v>9</v>
      </c>
      <c r="G23" s="124">
        <v>8</v>
      </c>
    </row>
    <row r="24" spans="1:7" x14ac:dyDescent="0.25">
      <c r="A24" s="123" t="str">
        <f t="shared" si="0"/>
        <v>Тольятти44806</v>
      </c>
      <c r="B24" s="121">
        <v>44806</v>
      </c>
      <c r="C24" s="124" t="s">
        <v>11</v>
      </c>
      <c r="D24" s="124">
        <v>10</v>
      </c>
      <c r="E24" s="124">
        <v>10</v>
      </c>
      <c r="F24" s="124">
        <v>6</v>
      </c>
      <c r="G24" s="124">
        <v>10</v>
      </c>
    </row>
    <row r="25" spans="1:7" x14ac:dyDescent="0.25">
      <c r="A25" s="123" t="str">
        <f t="shared" si="0"/>
        <v>Тула44806</v>
      </c>
      <c r="B25" s="121">
        <v>44806</v>
      </c>
      <c r="C25" s="124" t="s">
        <v>12</v>
      </c>
      <c r="D25" s="124">
        <v>6</v>
      </c>
      <c r="E25" s="124">
        <v>8</v>
      </c>
      <c r="F25" s="124">
        <v>8</v>
      </c>
      <c r="G25" s="124">
        <v>6</v>
      </c>
    </row>
    <row r="26" spans="1:7" x14ac:dyDescent="0.25">
      <c r="A26" s="123" t="str">
        <f t="shared" si="0"/>
        <v>Уфа44806</v>
      </c>
      <c r="B26" s="121">
        <v>44806</v>
      </c>
      <c r="C26" s="124" t="s">
        <v>13</v>
      </c>
      <c r="D26" s="124">
        <v>46</v>
      </c>
      <c r="E26" s="124">
        <v>47</v>
      </c>
      <c r="F26" s="124">
        <v>47</v>
      </c>
      <c r="G26" s="124">
        <v>46</v>
      </c>
    </row>
    <row r="27" spans="1:7" x14ac:dyDescent="0.25">
      <c r="A27" s="123" t="str">
        <f t="shared" si="0"/>
        <v>Ярославль44806</v>
      </c>
      <c r="B27" s="121">
        <v>44806</v>
      </c>
      <c r="C27" s="124" t="s">
        <v>14</v>
      </c>
      <c r="D27" s="124">
        <v>12</v>
      </c>
      <c r="E27" s="124">
        <v>14</v>
      </c>
      <c r="F27" s="124">
        <v>14</v>
      </c>
      <c r="G27" s="124">
        <v>11</v>
      </c>
    </row>
    <row r="28" spans="1:7" x14ac:dyDescent="0.25">
      <c r="A28" s="123" t="str">
        <f t="shared" si="0"/>
        <v>Воронеж44809</v>
      </c>
      <c r="B28" s="121">
        <v>44809</v>
      </c>
      <c r="C28" s="124" t="s">
        <v>5</v>
      </c>
      <c r="D28" s="124">
        <v>25</v>
      </c>
      <c r="E28" s="124">
        <v>25</v>
      </c>
      <c r="F28" s="124">
        <v>15</v>
      </c>
      <c r="G28" s="124">
        <v>25</v>
      </c>
    </row>
    <row r="29" spans="1:7" x14ac:dyDescent="0.25">
      <c r="A29" s="123" t="str">
        <f t="shared" si="0"/>
        <v>Калининград44809</v>
      </c>
      <c r="B29" s="121">
        <v>44809</v>
      </c>
      <c r="C29" s="124" t="s">
        <v>6</v>
      </c>
      <c r="D29" s="124">
        <v>50</v>
      </c>
      <c r="E29" s="124">
        <v>65</v>
      </c>
      <c r="F29" s="124">
        <v>53</v>
      </c>
      <c r="G29" s="124">
        <v>31</v>
      </c>
    </row>
    <row r="30" spans="1:7" x14ac:dyDescent="0.25">
      <c r="A30" s="123" t="str">
        <f t="shared" si="0"/>
        <v>Липецк44809</v>
      </c>
      <c r="B30" s="121">
        <v>44809</v>
      </c>
      <c r="C30" s="124" t="s">
        <v>7</v>
      </c>
      <c r="D30" s="124">
        <v>41</v>
      </c>
      <c r="E30" s="124">
        <v>44</v>
      </c>
      <c r="F30" s="124">
        <v>44</v>
      </c>
      <c r="G30" s="124">
        <v>38</v>
      </c>
    </row>
    <row r="31" spans="1:7" x14ac:dyDescent="0.25">
      <c r="A31" s="123" t="str">
        <f t="shared" si="0"/>
        <v>Москва44809</v>
      </c>
      <c r="B31" s="121">
        <v>44809</v>
      </c>
      <c r="C31" s="124" t="s">
        <v>8</v>
      </c>
      <c r="D31" s="124">
        <v>18</v>
      </c>
      <c r="E31" s="124">
        <v>9</v>
      </c>
      <c r="F31" s="124">
        <v>9</v>
      </c>
      <c r="G31" s="124">
        <v>9</v>
      </c>
    </row>
    <row r="32" spans="1:7" x14ac:dyDescent="0.25">
      <c r="A32" s="123" t="str">
        <f t="shared" si="0"/>
        <v>Наб.Челны44809</v>
      </c>
      <c r="B32" s="121">
        <v>44809</v>
      </c>
      <c r="C32" s="124" t="s">
        <v>37</v>
      </c>
      <c r="D32" s="124">
        <v>43</v>
      </c>
      <c r="E32" s="124">
        <v>43</v>
      </c>
      <c r="F32" s="124">
        <v>43</v>
      </c>
      <c r="G32" s="124">
        <v>43</v>
      </c>
    </row>
    <row r="33" spans="1:7" x14ac:dyDescent="0.25">
      <c r="A33" s="123" t="str">
        <f t="shared" si="0"/>
        <v>Нижний Новгород44809</v>
      </c>
      <c r="B33" s="121">
        <v>44809</v>
      </c>
      <c r="C33" s="124" t="s">
        <v>38</v>
      </c>
      <c r="D33" s="124">
        <v>30</v>
      </c>
      <c r="E33" s="124">
        <v>27</v>
      </c>
      <c r="F33" s="124">
        <v>24</v>
      </c>
      <c r="G33" s="124">
        <v>27</v>
      </c>
    </row>
    <row r="34" spans="1:7" x14ac:dyDescent="0.25">
      <c r="A34" s="123" t="str">
        <f t="shared" si="0"/>
        <v>Самара44809</v>
      </c>
      <c r="B34" s="121">
        <v>44809</v>
      </c>
      <c r="C34" s="124" t="s">
        <v>9</v>
      </c>
      <c r="D34" s="124">
        <v>51</v>
      </c>
      <c r="E34" s="124">
        <v>50</v>
      </c>
      <c r="F34" s="124">
        <v>50</v>
      </c>
      <c r="G34" s="124">
        <v>50</v>
      </c>
    </row>
    <row r="35" spans="1:7" x14ac:dyDescent="0.25">
      <c r="A35" s="123" t="str">
        <f t="shared" si="0"/>
        <v>Саратов44809</v>
      </c>
      <c r="B35" s="121">
        <v>44809</v>
      </c>
      <c r="C35" s="124" t="s">
        <v>10</v>
      </c>
      <c r="D35" s="124">
        <v>33</v>
      </c>
      <c r="E35" s="124">
        <v>48</v>
      </c>
      <c r="F35" s="124">
        <v>42</v>
      </c>
      <c r="G35" s="124">
        <v>27</v>
      </c>
    </row>
    <row r="36" spans="1:7" x14ac:dyDescent="0.25">
      <c r="A36" s="123" t="str">
        <f t="shared" si="0"/>
        <v>Старый Оскол44809</v>
      </c>
      <c r="B36" s="121">
        <v>44809</v>
      </c>
      <c r="C36" s="124" t="s">
        <v>39</v>
      </c>
      <c r="D36" s="124">
        <v>7</v>
      </c>
      <c r="E36" s="124">
        <v>7</v>
      </c>
      <c r="F36" s="124">
        <v>7</v>
      </c>
      <c r="G36" s="124">
        <v>7</v>
      </c>
    </row>
    <row r="37" spans="1:7" x14ac:dyDescent="0.25">
      <c r="A37" s="123" t="str">
        <f t="shared" si="0"/>
        <v>Тольятти44809</v>
      </c>
      <c r="B37" s="121">
        <v>44809</v>
      </c>
      <c r="C37" s="124" t="s">
        <v>11</v>
      </c>
      <c r="D37" s="124">
        <v>10</v>
      </c>
      <c r="E37" s="124">
        <v>10</v>
      </c>
      <c r="F37" s="124">
        <v>9</v>
      </c>
      <c r="G37" s="124">
        <v>10</v>
      </c>
    </row>
    <row r="38" spans="1:7" x14ac:dyDescent="0.25">
      <c r="A38" s="123" t="str">
        <f t="shared" si="0"/>
        <v>Тула44809</v>
      </c>
      <c r="B38" s="121">
        <v>44809</v>
      </c>
      <c r="C38" s="124" t="s">
        <v>12</v>
      </c>
      <c r="D38" s="124">
        <v>12</v>
      </c>
      <c r="E38" s="124">
        <v>14</v>
      </c>
      <c r="F38" s="124">
        <v>14</v>
      </c>
      <c r="G38" s="124">
        <v>12</v>
      </c>
    </row>
    <row r="39" spans="1:7" x14ac:dyDescent="0.25">
      <c r="A39" s="123" t="str">
        <f t="shared" si="0"/>
        <v>Уфа44809</v>
      </c>
      <c r="B39" s="121">
        <v>44809</v>
      </c>
      <c r="C39" s="124" t="s">
        <v>13</v>
      </c>
      <c r="D39" s="124">
        <v>64</v>
      </c>
      <c r="E39" s="124">
        <v>66</v>
      </c>
      <c r="F39" s="124">
        <v>66</v>
      </c>
      <c r="G39" s="124">
        <v>64</v>
      </c>
    </row>
    <row r="40" spans="1:7" x14ac:dyDescent="0.25">
      <c r="A40" s="123" t="str">
        <f t="shared" si="0"/>
        <v>Ярославль44809</v>
      </c>
      <c r="B40" s="121">
        <v>44809</v>
      </c>
      <c r="C40" s="124" t="s">
        <v>14</v>
      </c>
      <c r="D40" s="124">
        <v>12</v>
      </c>
      <c r="E40" s="124">
        <v>13</v>
      </c>
      <c r="F40" s="124">
        <v>13</v>
      </c>
      <c r="G40" s="124">
        <v>10</v>
      </c>
    </row>
    <row r="41" spans="1:7" x14ac:dyDescent="0.25">
      <c r="A41" s="123" t="str">
        <f t="shared" si="0"/>
        <v>Воронеж44810</v>
      </c>
      <c r="B41" s="121">
        <v>44810</v>
      </c>
      <c r="C41" s="124" t="s">
        <v>5</v>
      </c>
      <c r="D41" s="124">
        <v>31</v>
      </c>
      <c r="E41" s="124">
        <v>31</v>
      </c>
      <c r="F41" s="124">
        <v>24</v>
      </c>
      <c r="G41" s="124">
        <v>31</v>
      </c>
    </row>
    <row r="42" spans="1:7" x14ac:dyDescent="0.25">
      <c r="A42" s="123" t="str">
        <f t="shared" si="0"/>
        <v>Калининград44810</v>
      </c>
      <c r="B42" s="121">
        <v>44810</v>
      </c>
      <c r="C42" s="124" t="s">
        <v>6</v>
      </c>
      <c r="D42" s="124" t="s">
        <v>95</v>
      </c>
      <c r="E42" s="124">
        <v>17</v>
      </c>
      <c r="F42" s="124">
        <v>10</v>
      </c>
      <c r="G42" s="124" t="s">
        <v>95</v>
      </c>
    </row>
    <row r="43" spans="1:7" x14ac:dyDescent="0.25">
      <c r="A43" s="123" t="str">
        <f t="shared" si="0"/>
        <v>Липецк44810</v>
      </c>
      <c r="B43" s="121">
        <v>44810</v>
      </c>
      <c r="C43" s="124" t="s">
        <v>7</v>
      </c>
      <c r="D43" s="124">
        <v>18</v>
      </c>
      <c r="E43" s="124">
        <v>18</v>
      </c>
      <c r="F43" s="124">
        <v>18</v>
      </c>
      <c r="G43" s="124">
        <v>18</v>
      </c>
    </row>
    <row r="44" spans="1:7" x14ac:dyDescent="0.25">
      <c r="A44" s="123" t="str">
        <f t="shared" si="0"/>
        <v>Москва44810</v>
      </c>
      <c r="B44" s="121">
        <v>44810</v>
      </c>
      <c r="C44" s="124" t="s">
        <v>8</v>
      </c>
      <c r="D44" s="124">
        <v>11</v>
      </c>
      <c r="E44" s="124">
        <v>11</v>
      </c>
      <c r="F44" s="124">
        <v>9</v>
      </c>
      <c r="G44" s="124">
        <v>11</v>
      </c>
    </row>
    <row r="45" spans="1:7" x14ac:dyDescent="0.25">
      <c r="A45" s="123" t="str">
        <f t="shared" si="0"/>
        <v>Наб.Челны44810</v>
      </c>
      <c r="B45" s="121">
        <v>44810</v>
      </c>
      <c r="C45" s="124" t="s">
        <v>37</v>
      </c>
      <c r="D45" s="124">
        <v>7</v>
      </c>
      <c r="E45" s="124">
        <v>7</v>
      </c>
      <c r="F45" s="124">
        <v>7</v>
      </c>
      <c r="G45" s="124">
        <v>7</v>
      </c>
    </row>
    <row r="46" spans="1:7" x14ac:dyDescent="0.25">
      <c r="A46" s="123" t="str">
        <f t="shared" si="0"/>
        <v>Нижний Новгород44810</v>
      </c>
      <c r="B46" s="121">
        <v>44810</v>
      </c>
      <c r="C46" s="124" t="s">
        <v>38</v>
      </c>
      <c r="D46" s="124">
        <v>28</v>
      </c>
      <c r="E46" s="124">
        <v>21</v>
      </c>
      <c r="F46" s="124">
        <v>20</v>
      </c>
      <c r="G46" s="124">
        <v>17</v>
      </c>
    </row>
    <row r="47" spans="1:7" x14ac:dyDescent="0.25">
      <c r="A47" s="123" t="str">
        <f t="shared" si="0"/>
        <v>Самара44810</v>
      </c>
      <c r="B47" s="121">
        <v>44810</v>
      </c>
      <c r="C47" s="124" t="s">
        <v>9</v>
      </c>
      <c r="D47" s="124">
        <v>42</v>
      </c>
      <c r="E47" s="124">
        <v>42</v>
      </c>
      <c r="F47" s="124">
        <v>42</v>
      </c>
      <c r="G47" s="124">
        <v>42</v>
      </c>
    </row>
    <row r="48" spans="1:7" x14ac:dyDescent="0.25">
      <c r="A48" s="123" t="str">
        <f t="shared" si="0"/>
        <v>Саратов44810</v>
      </c>
      <c r="B48" s="121">
        <v>44810</v>
      </c>
      <c r="C48" s="124" t="s">
        <v>10</v>
      </c>
      <c r="D48" s="124">
        <v>18</v>
      </c>
      <c r="E48" s="124">
        <v>20</v>
      </c>
      <c r="F48" s="124">
        <v>16</v>
      </c>
      <c r="G48" s="124">
        <v>14</v>
      </c>
    </row>
    <row r="49" spans="1:7" x14ac:dyDescent="0.25">
      <c r="A49" s="123" t="str">
        <f t="shared" si="0"/>
        <v>Старый Оскол44810</v>
      </c>
      <c r="B49" s="121">
        <v>44810</v>
      </c>
      <c r="C49" s="124" t="s">
        <v>39</v>
      </c>
      <c r="D49" s="124">
        <v>10</v>
      </c>
      <c r="E49" s="124">
        <v>9</v>
      </c>
      <c r="F49" s="124">
        <v>6</v>
      </c>
      <c r="G49" s="124">
        <v>9</v>
      </c>
    </row>
    <row r="50" spans="1:7" x14ac:dyDescent="0.25">
      <c r="A50" s="123" t="str">
        <f t="shared" si="0"/>
        <v>Тольятти44810</v>
      </c>
      <c r="B50" s="121">
        <v>44810</v>
      </c>
      <c r="C50" s="124" t="s">
        <v>11</v>
      </c>
      <c r="D50" s="124">
        <v>8</v>
      </c>
      <c r="E50" s="124">
        <v>9</v>
      </c>
      <c r="F50" s="124">
        <v>7</v>
      </c>
      <c r="G50" s="124">
        <v>8</v>
      </c>
    </row>
    <row r="51" spans="1:7" x14ac:dyDescent="0.25">
      <c r="A51" s="123" t="str">
        <f t="shared" si="0"/>
        <v>Тула44810</v>
      </c>
      <c r="B51" s="121">
        <v>44810</v>
      </c>
      <c r="C51" s="124" t="s">
        <v>12</v>
      </c>
      <c r="D51" s="124">
        <v>8</v>
      </c>
      <c r="E51" s="124">
        <v>9</v>
      </c>
      <c r="F51" s="124">
        <v>9</v>
      </c>
      <c r="G51" s="124">
        <v>7</v>
      </c>
    </row>
    <row r="52" spans="1:7" x14ac:dyDescent="0.25">
      <c r="A52" s="123" t="str">
        <f t="shared" si="0"/>
        <v>Уфа44810</v>
      </c>
      <c r="B52" s="121">
        <v>44810</v>
      </c>
      <c r="C52" s="124" t="s">
        <v>13</v>
      </c>
      <c r="D52" s="124">
        <v>48</v>
      </c>
      <c r="E52" s="124">
        <v>52</v>
      </c>
      <c r="F52" s="124">
        <v>51</v>
      </c>
      <c r="G52" s="124">
        <v>48</v>
      </c>
    </row>
    <row r="53" spans="1:7" x14ac:dyDescent="0.25">
      <c r="A53" s="123" t="str">
        <f t="shared" si="0"/>
        <v>Ярославль44810</v>
      </c>
      <c r="B53" s="121">
        <v>44810</v>
      </c>
      <c r="C53" s="124" t="s">
        <v>14</v>
      </c>
      <c r="D53" s="124">
        <v>18</v>
      </c>
      <c r="E53" s="124">
        <v>21</v>
      </c>
      <c r="F53" s="124">
        <v>21</v>
      </c>
      <c r="G53" s="124">
        <v>18</v>
      </c>
    </row>
    <row r="54" spans="1:7" x14ac:dyDescent="0.25">
      <c r="A54" s="123" t="str">
        <f t="shared" si="0"/>
        <v>Воронеж44811</v>
      </c>
      <c r="B54" s="121">
        <v>44811</v>
      </c>
      <c r="C54" s="124" t="s">
        <v>5</v>
      </c>
      <c r="D54" s="124">
        <v>28</v>
      </c>
      <c r="E54" s="124">
        <v>28</v>
      </c>
      <c r="F54" s="124">
        <v>22</v>
      </c>
      <c r="G54" s="124">
        <v>28</v>
      </c>
    </row>
    <row r="55" spans="1:7" x14ac:dyDescent="0.25">
      <c r="A55" s="123" t="str">
        <f t="shared" si="0"/>
        <v>Калининград44811</v>
      </c>
      <c r="B55" s="121">
        <v>44811</v>
      </c>
      <c r="C55" s="124" t="s">
        <v>6</v>
      </c>
      <c r="D55" s="124">
        <v>59</v>
      </c>
      <c r="E55" s="124">
        <v>37</v>
      </c>
      <c r="F55" s="124">
        <v>33</v>
      </c>
      <c r="G55" s="124">
        <v>28</v>
      </c>
    </row>
    <row r="56" spans="1:7" x14ac:dyDescent="0.25">
      <c r="A56" s="123" t="str">
        <f t="shared" si="0"/>
        <v>Липецк44811</v>
      </c>
      <c r="B56" s="121">
        <v>44811</v>
      </c>
      <c r="C56" s="124" t="s">
        <v>7</v>
      </c>
      <c r="D56" s="124">
        <v>10</v>
      </c>
      <c r="E56" s="124">
        <v>10</v>
      </c>
      <c r="F56" s="124">
        <v>10</v>
      </c>
      <c r="G56" s="124">
        <v>10</v>
      </c>
    </row>
    <row r="57" spans="1:7" x14ac:dyDescent="0.25">
      <c r="A57" s="123" t="str">
        <f t="shared" si="0"/>
        <v>Москва44811</v>
      </c>
      <c r="B57" s="121">
        <v>44811</v>
      </c>
      <c r="C57" s="124" t="s">
        <v>8</v>
      </c>
      <c r="D57" s="124">
        <v>7</v>
      </c>
      <c r="E57" s="124">
        <v>7</v>
      </c>
      <c r="F57" s="124">
        <v>7</v>
      </c>
      <c r="G57" s="124">
        <v>7</v>
      </c>
    </row>
    <row r="58" spans="1:7" x14ac:dyDescent="0.25">
      <c r="A58" s="123" t="str">
        <f t="shared" si="0"/>
        <v>Наб.Челны44811</v>
      </c>
      <c r="B58" s="121">
        <v>44811</v>
      </c>
      <c r="C58" s="124" t="s">
        <v>37</v>
      </c>
      <c r="D58" s="124">
        <v>49</v>
      </c>
      <c r="E58" s="124">
        <v>47</v>
      </c>
      <c r="F58" s="124">
        <v>46</v>
      </c>
      <c r="G58" s="124">
        <v>47</v>
      </c>
    </row>
    <row r="59" spans="1:7" x14ac:dyDescent="0.25">
      <c r="A59" s="123" t="str">
        <f t="shared" si="0"/>
        <v>Нижний Новгород44811</v>
      </c>
      <c r="B59" s="121">
        <v>44811</v>
      </c>
      <c r="C59" s="124" t="s">
        <v>38</v>
      </c>
      <c r="D59" s="124">
        <v>9</v>
      </c>
      <c r="E59" s="124">
        <v>9</v>
      </c>
      <c r="F59" s="124">
        <v>9</v>
      </c>
      <c r="G59" s="124">
        <v>9</v>
      </c>
    </row>
    <row r="60" spans="1:7" x14ac:dyDescent="0.25">
      <c r="A60" s="123" t="str">
        <f t="shared" si="0"/>
        <v>Самара44811</v>
      </c>
      <c r="B60" s="121">
        <v>44811</v>
      </c>
      <c r="C60" s="124" t="s">
        <v>9</v>
      </c>
      <c r="D60" s="124">
        <v>12</v>
      </c>
      <c r="E60" s="124">
        <v>10</v>
      </c>
      <c r="F60" s="124">
        <v>10</v>
      </c>
      <c r="G60" s="124">
        <v>10</v>
      </c>
    </row>
    <row r="61" spans="1:7" x14ac:dyDescent="0.25">
      <c r="A61" s="123" t="str">
        <f t="shared" si="0"/>
        <v>Саратов44811</v>
      </c>
      <c r="B61" s="121">
        <v>44811</v>
      </c>
      <c r="C61" s="124" t="s">
        <v>10</v>
      </c>
      <c r="D61" s="124">
        <v>9</v>
      </c>
      <c r="E61" s="124">
        <v>13</v>
      </c>
      <c r="F61" s="124">
        <v>13</v>
      </c>
      <c r="G61" s="124">
        <v>8</v>
      </c>
    </row>
    <row r="62" spans="1:7" x14ac:dyDescent="0.25">
      <c r="A62" s="123" t="str">
        <f t="shared" si="0"/>
        <v>Старый Оскол44811</v>
      </c>
      <c r="B62" s="121">
        <v>44811</v>
      </c>
      <c r="C62" s="124" t="s">
        <v>39</v>
      </c>
      <c r="D62" s="124">
        <v>5</v>
      </c>
      <c r="E62" s="124">
        <v>5</v>
      </c>
      <c r="F62" s="124">
        <v>5</v>
      </c>
      <c r="G62" s="124">
        <v>5</v>
      </c>
    </row>
    <row r="63" spans="1:7" x14ac:dyDescent="0.25">
      <c r="A63" s="123" t="str">
        <f t="shared" si="0"/>
        <v>Тольятти44811</v>
      </c>
      <c r="B63" s="121">
        <v>44811</v>
      </c>
      <c r="C63" s="124" t="s">
        <v>11</v>
      </c>
      <c r="D63" s="124">
        <v>8</v>
      </c>
      <c r="E63" s="124">
        <v>9</v>
      </c>
      <c r="F63" s="124">
        <v>9</v>
      </c>
      <c r="G63" s="124">
        <v>8</v>
      </c>
    </row>
    <row r="64" spans="1:7" x14ac:dyDescent="0.25">
      <c r="A64" s="123" t="str">
        <f t="shared" si="0"/>
        <v>Тула44811</v>
      </c>
      <c r="B64" s="121">
        <v>44811</v>
      </c>
      <c r="C64" s="124" t="s">
        <v>12</v>
      </c>
      <c r="D64" s="124">
        <v>3</v>
      </c>
      <c r="E64" s="124">
        <v>4</v>
      </c>
      <c r="F64" s="124">
        <v>4</v>
      </c>
      <c r="G64" s="124">
        <v>3</v>
      </c>
    </row>
    <row r="65" spans="1:7" x14ac:dyDescent="0.25">
      <c r="A65" s="123" t="str">
        <f t="shared" si="0"/>
        <v>Уфа44811</v>
      </c>
      <c r="B65" s="121">
        <v>44811</v>
      </c>
      <c r="C65" s="124" t="s">
        <v>13</v>
      </c>
      <c r="D65" s="124">
        <v>10</v>
      </c>
      <c r="E65" s="124">
        <v>12</v>
      </c>
      <c r="F65" s="124">
        <v>12</v>
      </c>
      <c r="G65" s="124">
        <v>10</v>
      </c>
    </row>
    <row r="66" spans="1:7" x14ac:dyDescent="0.25">
      <c r="A66" s="123" t="str">
        <f t="shared" si="0"/>
        <v>Ярославль44811</v>
      </c>
      <c r="B66" s="121">
        <v>44811</v>
      </c>
      <c r="C66" s="124" t="s">
        <v>14</v>
      </c>
      <c r="D66" s="124">
        <v>17</v>
      </c>
      <c r="E66" s="124">
        <v>16</v>
      </c>
      <c r="F66" s="124">
        <v>16</v>
      </c>
      <c r="G66" s="124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1"/>
  <sheetViews>
    <sheetView workbookViewId="0">
      <pane ySplit="2" topLeftCell="A12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8" style="124" customWidth="1"/>
    <col min="4" max="4" width="12" style="124" customWidth="1"/>
    <col min="5" max="5" width="12.85546875" style="124" customWidth="1"/>
  </cols>
  <sheetData>
    <row r="1" spans="1:5" ht="15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8" si="0">C3&amp;B3</f>
        <v>Воронеж44805</v>
      </c>
      <c r="B3" s="121">
        <v>44805</v>
      </c>
      <c r="C3" s="124" t="s">
        <v>5</v>
      </c>
      <c r="D3" s="124" t="s">
        <v>95</v>
      </c>
      <c r="E3" s="124">
        <v>1</v>
      </c>
    </row>
    <row r="4" spans="1:5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10</v>
      </c>
      <c r="E4" s="124">
        <v>11</v>
      </c>
    </row>
    <row r="5" spans="1:5" x14ac:dyDescent="0.25">
      <c r="A5" s="123" t="str">
        <f t="shared" si="0"/>
        <v>Нижний Новгород44805</v>
      </c>
      <c r="B5" s="121">
        <v>44805</v>
      </c>
      <c r="C5" s="124" t="s">
        <v>38</v>
      </c>
      <c r="D5" s="124" t="s">
        <v>95</v>
      </c>
      <c r="E5" s="124">
        <v>1</v>
      </c>
    </row>
    <row r="6" spans="1:5" x14ac:dyDescent="0.25">
      <c r="A6" s="123" t="str">
        <f t="shared" si="0"/>
        <v>Самара44805</v>
      </c>
      <c r="B6" s="121">
        <v>44805</v>
      </c>
      <c r="C6" s="124" t="s">
        <v>9</v>
      </c>
      <c r="D6" s="124">
        <v>1</v>
      </c>
      <c r="E6" s="124">
        <v>5</v>
      </c>
    </row>
    <row r="7" spans="1:5" x14ac:dyDescent="0.25">
      <c r="A7" s="123" t="str">
        <f t="shared" si="0"/>
        <v>Саратов44805</v>
      </c>
      <c r="B7" s="121">
        <v>44805</v>
      </c>
      <c r="C7" s="124" t="s">
        <v>10</v>
      </c>
      <c r="D7" s="124" t="s">
        <v>95</v>
      </c>
      <c r="E7" s="124">
        <v>4</v>
      </c>
    </row>
    <row r="8" spans="1:5" x14ac:dyDescent="0.25">
      <c r="A8" s="123" t="str">
        <f t="shared" si="0"/>
        <v>Старый Оскол44805</v>
      </c>
      <c r="B8" s="121">
        <v>44805</v>
      </c>
      <c r="C8" s="124" t="s">
        <v>39</v>
      </c>
      <c r="D8" s="124">
        <v>1</v>
      </c>
      <c r="E8" s="124">
        <v>2</v>
      </c>
    </row>
    <row r="9" spans="1:5" x14ac:dyDescent="0.25">
      <c r="A9" s="123" t="str">
        <f t="shared" ref="A9:A41" si="1">C9&amp;B9</f>
        <v>Уфа44805</v>
      </c>
      <c r="B9" s="121">
        <v>44805</v>
      </c>
      <c r="C9" s="124" t="s">
        <v>13</v>
      </c>
      <c r="D9" s="124" t="s">
        <v>95</v>
      </c>
      <c r="E9" s="124">
        <v>1</v>
      </c>
    </row>
    <row r="10" spans="1:5" x14ac:dyDescent="0.25">
      <c r="A10" s="123" t="str">
        <f t="shared" si="1"/>
        <v>Ярославль44805</v>
      </c>
      <c r="B10" s="121">
        <v>44805</v>
      </c>
      <c r="C10" s="124" t="s">
        <v>14</v>
      </c>
      <c r="D10" s="124">
        <v>4</v>
      </c>
      <c r="E10" s="124">
        <v>5</v>
      </c>
    </row>
    <row r="11" spans="1:5" x14ac:dyDescent="0.25">
      <c r="A11" s="123" t="str">
        <f t="shared" si="1"/>
        <v>Калининград44806</v>
      </c>
      <c r="B11" s="121">
        <v>44806</v>
      </c>
      <c r="C11" s="124" t="s">
        <v>6</v>
      </c>
      <c r="D11" s="124">
        <v>9</v>
      </c>
      <c r="E11" s="124">
        <v>9</v>
      </c>
    </row>
    <row r="12" spans="1:5" x14ac:dyDescent="0.25">
      <c r="A12" s="123" t="str">
        <f t="shared" si="1"/>
        <v>Липецк44806</v>
      </c>
      <c r="B12" s="121">
        <v>44806</v>
      </c>
      <c r="C12" s="124" t="s">
        <v>7</v>
      </c>
      <c r="D12" s="124" t="s">
        <v>95</v>
      </c>
      <c r="E12" s="124">
        <v>2</v>
      </c>
    </row>
    <row r="13" spans="1:5" x14ac:dyDescent="0.25">
      <c r="A13" s="123" t="str">
        <f t="shared" si="1"/>
        <v>Нижний Новгород44806</v>
      </c>
      <c r="B13" s="121">
        <v>44806</v>
      </c>
      <c r="C13" s="124" t="s">
        <v>38</v>
      </c>
      <c r="D13" s="124">
        <v>3</v>
      </c>
      <c r="E13" s="124">
        <v>3</v>
      </c>
    </row>
    <row r="14" spans="1:5" x14ac:dyDescent="0.25">
      <c r="A14" s="123" t="str">
        <f t="shared" si="1"/>
        <v>Самара44806</v>
      </c>
      <c r="B14" s="121">
        <v>44806</v>
      </c>
      <c r="C14" s="124" t="s">
        <v>9</v>
      </c>
      <c r="D14" s="124">
        <v>1</v>
      </c>
      <c r="E14" s="124" t="s">
        <v>95</v>
      </c>
    </row>
    <row r="15" spans="1:5" x14ac:dyDescent="0.25">
      <c r="A15" s="123" t="str">
        <f t="shared" si="1"/>
        <v>Саратов44806</v>
      </c>
      <c r="B15" s="121">
        <v>44806</v>
      </c>
      <c r="C15" s="124" t="s">
        <v>10</v>
      </c>
      <c r="D15" s="124" t="s">
        <v>95</v>
      </c>
      <c r="E15" s="124">
        <v>3</v>
      </c>
    </row>
    <row r="16" spans="1:5" x14ac:dyDescent="0.25">
      <c r="A16" s="123" t="str">
        <f t="shared" si="1"/>
        <v>Старый Оскол44806</v>
      </c>
      <c r="B16" s="121">
        <v>44806</v>
      </c>
      <c r="C16" s="124" t="s">
        <v>39</v>
      </c>
      <c r="D16" s="124" t="s">
        <v>95</v>
      </c>
      <c r="E16" s="124">
        <v>3</v>
      </c>
    </row>
    <row r="17" spans="1:5" x14ac:dyDescent="0.25">
      <c r="A17" s="123" t="str">
        <f t="shared" si="1"/>
        <v>Уфа44806</v>
      </c>
      <c r="B17" s="121">
        <v>44806</v>
      </c>
      <c r="C17" s="124" t="s">
        <v>13</v>
      </c>
      <c r="D17" s="124">
        <v>6</v>
      </c>
      <c r="E17" s="124">
        <v>8</v>
      </c>
    </row>
    <row r="18" spans="1:5" x14ac:dyDescent="0.25">
      <c r="A18" s="123" t="str">
        <f t="shared" si="1"/>
        <v>Ярославль44806</v>
      </c>
      <c r="B18" s="121">
        <v>44806</v>
      </c>
      <c r="C18" s="124" t="s">
        <v>14</v>
      </c>
      <c r="D18" s="124">
        <v>5</v>
      </c>
      <c r="E18" s="124">
        <v>5</v>
      </c>
    </row>
    <row r="19" spans="1:5" x14ac:dyDescent="0.25">
      <c r="A19" s="123" t="str">
        <f t="shared" si="1"/>
        <v>Воронеж44809</v>
      </c>
      <c r="B19" s="121">
        <v>44809</v>
      </c>
      <c r="C19" s="124" t="s">
        <v>5</v>
      </c>
      <c r="D19" s="124">
        <v>4</v>
      </c>
      <c r="E19" s="124">
        <v>1</v>
      </c>
    </row>
    <row r="20" spans="1:5" x14ac:dyDescent="0.25">
      <c r="A20" s="123" t="str">
        <f t="shared" si="1"/>
        <v>Калининград44809</v>
      </c>
      <c r="B20" s="121">
        <v>44809</v>
      </c>
      <c r="C20" s="124" t="s">
        <v>6</v>
      </c>
      <c r="D20" s="124">
        <v>10</v>
      </c>
      <c r="E20" s="124">
        <v>9</v>
      </c>
    </row>
    <row r="21" spans="1:5" x14ac:dyDescent="0.25">
      <c r="A21" s="123" t="str">
        <f t="shared" si="1"/>
        <v>Липецк44809</v>
      </c>
      <c r="B21" s="121">
        <v>44809</v>
      </c>
      <c r="C21" s="124" t="s">
        <v>7</v>
      </c>
      <c r="D21" s="124" t="s">
        <v>95</v>
      </c>
      <c r="E21" s="124">
        <v>4</v>
      </c>
    </row>
    <row r="22" spans="1:5" x14ac:dyDescent="0.25">
      <c r="A22" s="123" t="str">
        <f t="shared" si="1"/>
        <v>Наб.Челны44809</v>
      </c>
      <c r="B22" s="121">
        <v>44809</v>
      </c>
      <c r="C22" s="124" t="s">
        <v>37</v>
      </c>
      <c r="D22" s="124" t="s">
        <v>95</v>
      </c>
      <c r="E22" s="124">
        <v>2</v>
      </c>
    </row>
    <row r="23" spans="1:5" x14ac:dyDescent="0.25">
      <c r="A23" s="123" t="str">
        <f t="shared" si="1"/>
        <v>Нижний Новгород44809</v>
      </c>
      <c r="B23" s="121">
        <v>44809</v>
      </c>
      <c r="C23" s="124" t="s">
        <v>38</v>
      </c>
      <c r="D23" s="124">
        <v>1</v>
      </c>
      <c r="E23" s="124">
        <v>2</v>
      </c>
    </row>
    <row r="24" spans="1:5" x14ac:dyDescent="0.25">
      <c r="A24" s="123" t="str">
        <f t="shared" si="1"/>
        <v>Самара44809</v>
      </c>
      <c r="B24" s="121">
        <v>44809</v>
      </c>
      <c r="C24" s="124" t="s">
        <v>9</v>
      </c>
      <c r="D24" s="124">
        <v>2</v>
      </c>
      <c r="E24" s="124">
        <v>4</v>
      </c>
    </row>
    <row r="25" spans="1:5" x14ac:dyDescent="0.25">
      <c r="A25" s="123" t="str">
        <f t="shared" si="1"/>
        <v>Саратов44809</v>
      </c>
      <c r="B25" s="121">
        <v>44809</v>
      </c>
      <c r="C25" s="124" t="s">
        <v>10</v>
      </c>
      <c r="D25" s="124" t="s">
        <v>95</v>
      </c>
      <c r="E25" s="124">
        <v>3</v>
      </c>
    </row>
    <row r="26" spans="1:5" x14ac:dyDescent="0.25">
      <c r="A26" s="123" t="str">
        <f t="shared" si="1"/>
        <v>Тула44809</v>
      </c>
      <c r="B26" s="121">
        <v>44809</v>
      </c>
      <c r="C26" s="124" t="s">
        <v>12</v>
      </c>
      <c r="D26" s="124">
        <v>3</v>
      </c>
      <c r="E26" s="124" t="s">
        <v>95</v>
      </c>
    </row>
    <row r="27" spans="1:5" x14ac:dyDescent="0.25">
      <c r="A27" s="123" t="str">
        <f t="shared" si="1"/>
        <v>Уфа44809</v>
      </c>
      <c r="B27" s="121">
        <v>44809</v>
      </c>
      <c r="C27" s="124" t="s">
        <v>13</v>
      </c>
      <c r="D27" s="124">
        <v>4</v>
      </c>
      <c r="E27" s="124">
        <v>6</v>
      </c>
    </row>
    <row r="28" spans="1:5" x14ac:dyDescent="0.25">
      <c r="A28" s="123" t="str">
        <f t="shared" si="1"/>
        <v>Ярославль44809</v>
      </c>
      <c r="B28" s="121">
        <v>44809</v>
      </c>
      <c r="C28" s="124" t="s">
        <v>14</v>
      </c>
      <c r="D28" s="124">
        <v>1</v>
      </c>
      <c r="E28" s="124">
        <v>1</v>
      </c>
    </row>
    <row r="29" spans="1:5" x14ac:dyDescent="0.25">
      <c r="A29" s="123" t="str">
        <f t="shared" si="1"/>
        <v>Воронеж44810</v>
      </c>
      <c r="B29" s="121">
        <v>44810</v>
      </c>
      <c r="C29" s="124" t="s">
        <v>5</v>
      </c>
      <c r="D29" s="124">
        <v>4</v>
      </c>
      <c r="E29" s="124">
        <v>2</v>
      </c>
    </row>
    <row r="30" spans="1:5" x14ac:dyDescent="0.25">
      <c r="A30" s="123" t="str">
        <f t="shared" si="1"/>
        <v>Калининград44810</v>
      </c>
      <c r="B30" s="121">
        <v>44810</v>
      </c>
      <c r="C30" s="124" t="s">
        <v>6</v>
      </c>
      <c r="D30" s="124">
        <v>10</v>
      </c>
      <c r="E30" s="124">
        <v>10</v>
      </c>
    </row>
    <row r="31" spans="1:5" x14ac:dyDescent="0.25">
      <c r="A31" s="123" t="str">
        <f t="shared" si="1"/>
        <v>Самара44810</v>
      </c>
      <c r="B31" s="121">
        <v>44810</v>
      </c>
      <c r="C31" s="124" t="s">
        <v>9</v>
      </c>
      <c r="D31" s="124">
        <v>2</v>
      </c>
      <c r="E31" s="124">
        <v>2</v>
      </c>
    </row>
    <row r="32" spans="1:5" x14ac:dyDescent="0.25">
      <c r="A32" s="123" t="str">
        <f t="shared" si="1"/>
        <v>Старый Оскол44810</v>
      </c>
      <c r="B32" s="121">
        <v>44810</v>
      </c>
      <c r="C32" s="124" t="s">
        <v>39</v>
      </c>
      <c r="D32" s="124" t="s">
        <v>95</v>
      </c>
      <c r="E32" s="124">
        <v>4</v>
      </c>
    </row>
    <row r="33" spans="1:5" x14ac:dyDescent="0.25">
      <c r="A33" s="123" t="str">
        <f t="shared" si="1"/>
        <v>Ярославль44810</v>
      </c>
      <c r="B33" s="121">
        <v>44810</v>
      </c>
      <c r="C33" s="124" t="s">
        <v>14</v>
      </c>
      <c r="D33" s="124">
        <v>1</v>
      </c>
      <c r="E33" s="124">
        <v>2</v>
      </c>
    </row>
    <row r="34" spans="1:5" x14ac:dyDescent="0.25">
      <c r="A34" s="123" t="str">
        <f t="shared" si="1"/>
        <v>Воронеж44811</v>
      </c>
      <c r="B34" s="121">
        <v>44811</v>
      </c>
      <c r="C34" s="124" t="s">
        <v>5</v>
      </c>
      <c r="D34" s="124">
        <v>4</v>
      </c>
      <c r="E34" s="124">
        <v>2</v>
      </c>
    </row>
    <row r="35" spans="1:5" x14ac:dyDescent="0.25">
      <c r="A35" s="123" t="str">
        <f t="shared" si="1"/>
        <v>Калининград44811</v>
      </c>
      <c r="B35" s="121">
        <v>44811</v>
      </c>
      <c r="C35" s="124" t="s">
        <v>6</v>
      </c>
      <c r="D35" s="124">
        <v>14</v>
      </c>
      <c r="E35" s="124">
        <v>14</v>
      </c>
    </row>
    <row r="36" spans="1:5" x14ac:dyDescent="0.25">
      <c r="A36" s="123" t="str">
        <f t="shared" si="1"/>
        <v>Липецк44811</v>
      </c>
      <c r="B36" s="121">
        <v>44811</v>
      </c>
      <c r="C36" s="124" t="s">
        <v>7</v>
      </c>
      <c r="D36" s="124" t="s">
        <v>95</v>
      </c>
      <c r="E36" s="124">
        <v>1</v>
      </c>
    </row>
    <row r="37" spans="1:5" x14ac:dyDescent="0.25">
      <c r="A37" s="123" t="str">
        <f t="shared" si="1"/>
        <v>Нижний Новгород44811</v>
      </c>
      <c r="B37" s="121">
        <v>44811</v>
      </c>
      <c r="C37" s="124" t="s">
        <v>38</v>
      </c>
      <c r="D37" s="124" t="s">
        <v>95</v>
      </c>
      <c r="E37" s="124">
        <v>6</v>
      </c>
    </row>
    <row r="38" spans="1:5" x14ac:dyDescent="0.25">
      <c r="A38" s="123" t="str">
        <f t="shared" si="1"/>
        <v>Самара44811</v>
      </c>
      <c r="B38" s="121">
        <v>44811</v>
      </c>
      <c r="C38" s="124" t="s">
        <v>9</v>
      </c>
      <c r="D38" s="124">
        <v>3</v>
      </c>
      <c r="E38" s="124">
        <v>3</v>
      </c>
    </row>
    <row r="39" spans="1:5" x14ac:dyDescent="0.25">
      <c r="A39" s="123" t="str">
        <f t="shared" si="1"/>
        <v>Саратов44811</v>
      </c>
      <c r="B39" s="121">
        <v>44811</v>
      </c>
      <c r="C39" s="124" t="s">
        <v>10</v>
      </c>
      <c r="D39" s="124" t="s">
        <v>95</v>
      </c>
      <c r="E39" s="124">
        <v>1</v>
      </c>
    </row>
    <row r="40" spans="1:5" x14ac:dyDescent="0.25">
      <c r="A40" s="123" t="str">
        <f t="shared" si="1"/>
        <v>Старый Оскол44811</v>
      </c>
      <c r="B40" s="121">
        <v>44811</v>
      </c>
      <c r="C40" s="124" t="s">
        <v>39</v>
      </c>
      <c r="D40" s="124" t="s">
        <v>95</v>
      </c>
      <c r="E40" s="124">
        <v>1</v>
      </c>
    </row>
    <row r="41" spans="1:5" x14ac:dyDescent="0.25">
      <c r="A41" s="123" t="str">
        <f t="shared" si="1"/>
        <v>Уфа44811</v>
      </c>
      <c r="B41" s="121">
        <v>44811</v>
      </c>
      <c r="C41" s="124" t="s">
        <v>13</v>
      </c>
      <c r="D41" s="124">
        <v>3</v>
      </c>
      <c r="E41" s="12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74"/>
  <sheetViews>
    <sheetView workbookViewId="0">
      <pane ySplit="2" topLeftCell="A36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17.42578125" style="131" customWidth="1"/>
  </cols>
  <sheetData>
    <row r="1" spans="1:4" s="125" customFormat="1" ht="30.75" thickBot="1" x14ac:dyDescent="0.3">
      <c r="A1" s="130" t="s">
        <v>62</v>
      </c>
      <c r="B1" s="130" t="s">
        <v>2</v>
      </c>
      <c r="C1" s="130" t="s">
        <v>60</v>
      </c>
      <c r="D1" s="130" t="s">
        <v>65</v>
      </c>
    </row>
    <row r="2" spans="1:4" s="125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31">
        <v>2E-3</v>
      </c>
    </row>
    <row r="4" spans="1:4" x14ac:dyDescent="0.25">
      <c r="A4" s="123" t="str">
        <f t="shared" si="0"/>
        <v>Воронеж44805</v>
      </c>
      <c r="B4" s="121">
        <v>44805</v>
      </c>
      <c r="C4" s="124" t="s">
        <v>5</v>
      </c>
      <c r="D4" s="131">
        <v>1E-3</v>
      </c>
    </row>
    <row r="5" spans="1:4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31">
        <v>1E-3</v>
      </c>
    </row>
    <row r="6" spans="1:4" x14ac:dyDescent="0.25">
      <c r="A6" s="123" t="str">
        <f t="shared" si="0"/>
        <v>Липецк44805</v>
      </c>
      <c r="B6" s="121">
        <v>44805</v>
      </c>
      <c r="C6" s="124" t="s">
        <v>7</v>
      </c>
      <c r="D6" s="131">
        <v>2E-3</v>
      </c>
    </row>
    <row r="7" spans="1:4" x14ac:dyDescent="0.25">
      <c r="A7" s="123" t="str">
        <f t="shared" si="0"/>
        <v>Москва44805</v>
      </c>
      <c r="B7" s="121">
        <v>44805</v>
      </c>
      <c r="C7" s="124" t="s">
        <v>8</v>
      </c>
      <c r="D7" s="131">
        <v>1E-3</v>
      </c>
    </row>
    <row r="8" spans="1:4" x14ac:dyDescent="0.25">
      <c r="A8" s="123" t="str">
        <f t="shared" si="0"/>
        <v>Наб.Челны44805</v>
      </c>
      <c r="B8" s="121">
        <v>44805</v>
      </c>
      <c r="C8" s="124" t="s">
        <v>37</v>
      </c>
      <c r="D8" s="131">
        <v>1E-3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31">
        <v>1E-3</v>
      </c>
    </row>
    <row r="10" spans="1:4" x14ac:dyDescent="0.25">
      <c r="A10" s="123" t="str">
        <f t="shared" si="0"/>
        <v>Самара44805</v>
      </c>
      <c r="B10" s="121">
        <v>44805</v>
      </c>
      <c r="C10" s="124" t="s">
        <v>9</v>
      </c>
      <c r="D10" s="131">
        <v>1E-3</v>
      </c>
    </row>
    <row r="11" spans="1:4" x14ac:dyDescent="0.25">
      <c r="A11" s="123" t="str">
        <f t="shared" si="0"/>
        <v>Саратов44805</v>
      </c>
      <c r="B11" s="121">
        <v>44805</v>
      </c>
      <c r="C11" s="124" t="s">
        <v>10</v>
      </c>
      <c r="D11" s="131">
        <v>2E-3</v>
      </c>
    </row>
    <row r="12" spans="1:4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31">
        <v>1E-3</v>
      </c>
    </row>
    <row r="13" spans="1:4" x14ac:dyDescent="0.25">
      <c r="A13" s="123" t="str">
        <f t="shared" si="0"/>
        <v>Тольятти44805</v>
      </c>
      <c r="B13" s="121">
        <v>44805</v>
      </c>
      <c r="C13" s="124" t="s">
        <v>11</v>
      </c>
      <c r="D13" s="131">
        <v>3.0000000000000001E-3</v>
      </c>
    </row>
    <row r="14" spans="1:4" x14ac:dyDescent="0.25">
      <c r="A14" s="123" t="str">
        <f t="shared" si="0"/>
        <v>Тула44805</v>
      </c>
      <c r="B14" s="121">
        <v>44805</v>
      </c>
      <c r="C14" s="124" t="s">
        <v>12</v>
      </c>
      <c r="D14" s="131">
        <v>2E-3</v>
      </c>
    </row>
    <row r="15" spans="1:4" x14ac:dyDescent="0.25">
      <c r="A15" s="123" t="str">
        <f t="shared" si="0"/>
        <v>Уфа44805</v>
      </c>
      <c r="B15" s="121">
        <v>44805</v>
      </c>
      <c r="C15" s="124" t="s">
        <v>13</v>
      </c>
      <c r="D15" s="131">
        <v>1E-3</v>
      </c>
    </row>
    <row r="16" spans="1:4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31">
        <v>3.0000000000000001E-3</v>
      </c>
    </row>
    <row r="17" spans="1:4" x14ac:dyDescent="0.25">
      <c r="A17" s="123" t="str">
        <f t="shared" si="0"/>
        <v>ФС44805</v>
      </c>
      <c r="B17" s="121">
        <v>44805</v>
      </c>
      <c r="C17" s="124" t="s">
        <v>15</v>
      </c>
      <c r="D17" s="131">
        <v>1E-3</v>
      </c>
    </row>
    <row r="18" spans="1:4" x14ac:dyDescent="0.25">
      <c r="A18" s="123" t="str">
        <f t="shared" si="0"/>
        <v>Белгород44806</v>
      </c>
      <c r="B18" s="121">
        <v>44806</v>
      </c>
      <c r="C18" s="124" t="s">
        <v>4</v>
      </c>
      <c r="D18" s="131">
        <v>5.0000000000000001E-3</v>
      </c>
    </row>
    <row r="19" spans="1:4" x14ac:dyDescent="0.25">
      <c r="A19" s="123" t="str">
        <f t="shared" si="0"/>
        <v>Воронеж44806</v>
      </c>
      <c r="B19" s="121">
        <v>44806</v>
      </c>
      <c r="C19" s="124" t="s">
        <v>5</v>
      </c>
      <c r="D19" s="131">
        <v>2E-3</v>
      </c>
    </row>
    <row r="20" spans="1:4" x14ac:dyDescent="0.25">
      <c r="A20" s="123" t="str">
        <f t="shared" si="0"/>
        <v>Калининград44806</v>
      </c>
      <c r="B20" s="121">
        <v>44806</v>
      </c>
      <c r="C20" s="124" t="s">
        <v>6</v>
      </c>
      <c r="D20" s="131">
        <v>2E-3</v>
      </c>
    </row>
    <row r="21" spans="1:4" x14ac:dyDescent="0.25">
      <c r="A21" s="123" t="str">
        <f t="shared" si="0"/>
        <v>Липецк44806</v>
      </c>
      <c r="B21" s="121">
        <v>44806</v>
      </c>
      <c r="C21" s="124" t="s">
        <v>7</v>
      </c>
      <c r="D21" s="131">
        <v>4.0000000000000001E-3</v>
      </c>
    </row>
    <row r="22" spans="1:4" x14ac:dyDescent="0.25">
      <c r="A22" s="123" t="str">
        <f t="shared" si="0"/>
        <v>Москва44806</v>
      </c>
      <c r="B22" s="121">
        <v>44806</v>
      </c>
      <c r="C22" s="124" t="s">
        <v>8</v>
      </c>
      <c r="D22" s="131">
        <v>2E-3</v>
      </c>
    </row>
    <row r="23" spans="1:4" x14ac:dyDescent="0.25">
      <c r="A23" s="123" t="str">
        <f t="shared" si="0"/>
        <v>Наб.Челны44806</v>
      </c>
      <c r="B23" s="121">
        <v>44806</v>
      </c>
      <c r="C23" s="124" t="s">
        <v>37</v>
      </c>
      <c r="D23" s="131">
        <v>1E-3</v>
      </c>
    </row>
    <row r="24" spans="1:4" x14ac:dyDescent="0.25">
      <c r="A24" s="123" t="str">
        <f t="shared" si="0"/>
        <v>Нижний Новгород44806</v>
      </c>
      <c r="B24" s="121">
        <v>44806</v>
      </c>
      <c r="C24" s="124" t="s">
        <v>38</v>
      </c>
      <c r="D24" s="131">
        <v>2E-3</v>
      </c>
    </row>
    <row r="25" spans="1:4" x14ac:dyDescent="0.25">
      <c r="A25" s="123" t="str">
        <f t="shared" si="0"/>
        <v>Самара44806</v>
      </c>
      <c r="B25" s="121">
        <v>44806</v>
      </c>
      <c r="C25" s="124" t="s">
        <v>9</v>
      </c>
      <c r="D25" s="131">
        <v>1E-3</v>
      </c>
    </row>
    <row r="26" spans="1:4" x14ac:dyDescent="0.25">
      <c r="A26" s="123" t="str">
        <f t="shared" si="0"/>
        <v>Саратов44806</v>
      </c>
      <c r="B26" s="121">
        <v>44806</v>
      </c>
      <c r="C26" s="124" t="s">
        <v>10</v>
      </c>
      <c r="D26" s="131">
        <v>3.0000000000000001E-3</v>
      </c>
    </row>
    <row r="27" spans="1:4" x14ac:dyDescent="0.25">
      <c r="A27" s="123" t="str">
        <f t="shared" si="0"/>
        <v>Старый Оскол44806</v>
      </c>
      <c r="B27" s="121">
        <v>44806</v>
      </c>
      <c r="C27" s="124" t="s">
        <v>39</v>
      </c>
      <c r="D27" s="131">
        <v>3.0000000000000001E-3</v>
      </c>
    </row>
    <row r="28" spans="1:4" x14ac:dyDescent="0.25">
      <c r="A28" s="123" t="str">
        <f t="shared" si="0"/>
        <v>Тольятти44806</v>
      </c>
      <c r="B28" s="121">
        <v>44806</v>
      </c>
      <c r="C28" s="124" t="s">
        <v>11</v>
      </c>
      <c r="D28" s="131">
        <v>4.0000000000000001E-3</v>
      </c>
    </row>
    <row r="29" spans="1:4" x14ac:dyDescent="0.25">
      <c r="A29" s="123" t="str">
        <f t="shared" si="0"/>
        <v>Тула44806</v>
      </c>
      <c r="B29" s="121">
        <v>44806</v>
      </c>
      <c r="C29" s="124" t="s">
        <v>12</v>
      </c>
      <c r="D29" s="131">
        <v>3.0000000000000001E-3</v>
      </c>
    </row>
    <row r="30" spans="1:4" x14ac:dyDescent="0.25">
      <c r="A30" s="123" t="str">
        <f t="shared" si="0"/>
        <v>Уфа44806</v>
      </c>
      <c r="B30" s="121">
        <v>44806</v>
      </c>
      <c r="C30" s="124" t="s">
        <v>13</v>
      </c>
      <c r="D30" s="131">
        <v>3.0000000000000001E-3</v>
      </c>
    </row>
    <row r="31" spans="1:4" x14ac:dyDescent="0.25">
      <c r="A31" s="123" t="str">
        <f t="shared" si="0"/>
        <v>Ярославль44806</v>
      </c>
      <c r="B31" s="121">
        <v>44806</v>
      </c>
      <c r="C31" s="124" t="s">
        <v>14</v>
      </c>
      <c r="D31" s="131">
        <v>4.0000000000000001E-3</v>
      </c>
    </row>
    <row r="32" spans="1:4" x14ac:dyDescent="0.25">
      <c r="A32" s="123" t="str">
        <f t="shared" si="0"/>
        <v>ФС44806</v>
      </c>
      <c r="B32" s="121">
        <v>44806</v>
      </c>
      <c r="C32" s="124" t="s">
        <v>15</v>
      </c>
      <c r="D32" s="131">
        <v>3.0000000000000001E-3</v>
      </c>
    </row>
    <row r="33" spans="1:4" x14ac:dyDescent="0.25">
      <c r="A33" s="123" t="str">
        <f t="shared" si="0"/>
        <v>Воронеж44809</v>
      </c>
      <c r="B33" s="121">
        <v>44809</v>
      </c>
      <c r="C33" s="124" t="s">
        <v>5</v>
      </c>
      <c r="D33" s="131">
        <v>6.0000000000000001E-3</v>
      </c>
    </row>
    <row r="34" spans="1:4" x14ac:dyDescent="0.25">
      <c r="A34" s="123" t="str">
        <f t="shared" si="0"/>
        <v>Калининград44809</v>
      </c>
      <c r="B34" s="121">
        <v>44809</v>
      </c>
      <c r="C34" s="124" t="s">
        <v>6</v>
      </c>
      <c r="D34" s="131">
        <v>6.0000000000000001E-3</v>
      </c>
    </row>
    <row r="35" spans="1:4" x14ac:dyDescent="0.25">
      <c r="A35" s="123" t="str">
        <f t="shared" si="0"/>
        <v>Липецк44809</v>
      </c>
      <c r="B35" s="121">
        <v>44809</v>
      </c>
      <c r="C35" s="124" t="s">
        <v>7</v>
      </c>
      <c r="D35" s="131">
        <v>8.0000000000000002E-3</v>
      </c>
    </row>
    <row r="36" spans="1:4" x14ac:dyDescent="0.25">
      <c r="A36" s="123" t="str">
        <f t="shared" si="0"/>
        <v>Москва44809</v>
      </c>
      <c r="B36" s="121">
        <v>44809</v>
      </c>
      <c r="C36" s="124" t="s">
        <v>8</v>
      </c>
      <c r="D36" s="131">
        <v>8.0000000000000002E-3</v>
      </c>
    </row>
    <row r="37" spans="1:4" x14ac:dyDescent="0.25">
      <c r="A37" s="123" t="str">
        <f t="shared" si="0"/>
        <v>Наб.Челны44809</v>
      </c>
      <c r="B37" s="121">
        <v>44809</v>
      </c>
      <c r="C37" s="124" t="s">
        <v>37</v>
      </c>
      <c r="D37" s="131">
        <v>5.0000000000000001E-3</v>
      </c>
    </row>
    <row r="38" spans="1:4" x14ac:dyDescent="0.25">
      <c r="A38" s="123" t="str">
        <f t="shared" si="0"/>
        <v>Нижний Новгород44809</v>
      </c>
      <c r="B38" s="121">
        <v>44809</v>
      </c>
      <c r="C38" s="124" t="s">
        <v>38</v>
      </c>
      <c r="D38" s="131">
        <v>8.0000000000000002E-3</v>
      </c>
    </row>
    <row r="39" spans="1:4" x14ac:dyDescent="0.25">
      <c r="A39" s="123" t="str">
        <f t="shared" si="0"/>
        <v>Самара44809</v>
      </c>
      <c r="B39" s="121">
        <v>44809</v>
      </c>
      <c r="C39" s="124" t="s">
        <v>9</v>
      </c>
      <c r="D39" s="131">
        <v>6.9999999999999993E-3</v>
      </c>
    </row>
    <row r="40" spans="1:4" x14ac:dyDescent="0.25">
      <c r="A40" s="123" t="str">
        <f t="shared" si="0"/>
        <v>Саратов44809</v>
      </c>
      <c r="B40" s="121">
        <v>44809</v>
      </c>
      <c r="C40" s="124" t="s">
        <v>10</v>
      </c>
      <c r="D40" s="131">
        <v>6.9999999999999993E-3</v>
      </c>
    </row>
    <row r="41" spans="1:4" x14ac:dyDescent="0.25">
      <c r="A41" s="123" t="str">
        <f t="shared" si="0"/>
        <v>Старый Оскол44809</v>
      </c>
      <c r="B41" s="121">
        <v>44809</v>
      </c>
      <c r="C41" s="124" t="s">
        <v>39</v>
      </c>
      <c r="D41" s="131">
        <v>9.0000000000000011E-3</v>
      </c>
    </row>
    <row r="42" spans="1:4" x14ac:dyDescent="0.25">
      <c r="A42" s="123" t="str">
        <f t="shared" si="0"/>
        <v>Тольятти44809</v>
      </c>
      <c r="B42" s="121">
        <v>44809</v>
      </c>
      <c r="C42" s="124" t="s">
        <v>11</v>
      </c>
      <c r="D42" s="131">
        <v>9.0000000000000011E-3</v>
      </c>
    </row>
    <row r="43" spans="1:4" x14ac:dyDescent="0.25">
      <c r="A43" s="123" t="str">
        <f t="shared" si="0"/>
        <v>Тула44809</v>
      </c>
      <c r="B43" s="121">
        <v>44809</v>
      </c>
      <c r="C43" s="124" t="s">
        <v>12</v>
      </c>
      <c r="D43" s="131">
        <v>0.01</v>
      </c>
    </row>
    <row r="44" spans="1:4" x14ac:dyDescent="0.25">
      <c r="A44" s="123" t="str">
        <f t="shared" si="0"/>
        <v>Уфа44809</v>
      </c>
      <c r="B44" s="121">
        <v>44809</v>
      </c>
      <c r="C44" s="124" t="s">
        <v>13</v>
      </c>
      <c r="D44" s="131">
        <v>8.0000000000000002E-3</v>
      </c>
    </row>
    <row r="45" spans="1:4" x14ac:dyDescent="0.25">
      <c r="A45" s="123" t="str">
        <f t="shared" si="0"/>
        <v>Ярославль44809</v>
      </c>
      <c r="B45" s="121">
        <v>44809</v>
      </c>
      <c r="C45" s="124" t="s">
        <v>14</v>
      </c>
      <c r="D45" s="131">
        <v>8.0000000000000002E-3</v>
      </c>
    </row>
    <row r="46" spans="1:4" x14ac:dyDescent="0.25">
      <c r="A46" s="123" t="str">
        <f t="shared" si="0"/>
        <v>ФС44809</v>
      </c>
      <c r="B46" s="121">
        <v>44809</v>
      </c>
      <c r="C46" s="124" t="s">
        <v>15</v>
      </c>
      <c r="D46" s="131">
        <v>0</v>
      </c>
    </row>
    <row r="47" spans="1:4" x14ac:dyDescent="0.25">
      <c r="A47" s="123" t="str">
        <f t="shared" si="0"/>
        <v>Воронеж44810</v>
      </c>
      <c r="B47" s="121">
        <v>44810</v>
      </c>
      <c r="C47" s="124" t="s">
        <v>5</v>
      </c>
      <c r="D47" s="131">
        <v>6.0000000000000001E-3</v>
      </c>
    </row>
    <row r="48" spans="1:4" x14ac:dyDescent="0.25">
      <c r="A48" s="123" t="str">
        <f t="shared" si="0"/>
        <v>Калининград44810</v>
      </c>
      <c r="B48" s="121">
        <v>44810</v>
      </c>
      <c r="C48" s="124" t="s">
        <v>6</v>
      </c>
      <c r="D48" s="131">
        <v>6.9999999999999993E-3</v>
      </c>
    </row>
    <row r="49" spans="1:4" x14ac:dyDescent="0.25">
      <c r="A49" s="123" t="str">
        <f t="shared" si="0"/>
        <v>Липецк44810</v>
      </c>
      <c r="B49" s="121">
        <v>44810</v>
      </c>
      <c r="C49" s="124" t="s">
        <v>7</v>
      </c>
      <c r="D49" s="131">
        <v>9.0000000000000011E-3</v>
      </c>
    </row>
    <row r="50" spans="1:4" x14ac:dyDescent="0.25">
      <c r="A50" s="123" t="str">
        <f t="shared" si="0"/>
        <v>Москва44810</v>
      </c>
      <c r="B50" s="121">
        <v>44810</v>
      </c>
      <c r="C50" s="124" t="s">
        <v>8</v>
      </c>
      <c r="D50" s="131">
        <v>9.0000000000000011E-3</v>
      </c>
    </row>
    <row r="51" spans="1:4" x14ac:dyDescent="0.25">
      <c r="A51" s="123" t="str">
        <f t="shared" si="0"/>
        <v>Наб.Челны44810</v>
      </c>
      <c r="B51" s="121">
        <v>44810</v>
      </c>
      <c r="C51" s="124" t="s">
        <v>37</v>
      </c>
      <c r="D51" s="131">
        <v>6.0000000000000001E-3</v>
      </c>
    </row>
    <row r="52" spans="1:4" x14ac:dyDescent="0.25">
      <c r="A52" s="123" t="str">
        <f t="shared" si="0"/>
        <v>Нижний Новгород44810</v>
      </c>
      <c r="B52" s="121">
        <v>44810</v>
      </c>
      <c r="C52" s="124" t="s">
        <v>38</v>
      </c>
      <c r="D52" s="131">
        <v>1.1000000000000001E-2</v>
      </c>
    </row>
    <row r="53" spans="1:4" x14ac:dyDescent="0.25">
      <c r="A53" s="123" t="str">
        <f t="shared" si="0"/>
        <v>Самара44810</v>
      </c>
      <c r="B53" s="121">
        <v>44810</v>
      </c>
      <c r="C53" s="124" t="s">
        <v>9</v>
      </c>
      <c r="D53" s="131">
        <v>8.0000000000000002E-3</v>
      </c>
    </row>
    <row r="54" spans="1:4" x14ac:dyDescent="0.25">
      <c r="A54" s="123" t="str">
        <f t="shared" si="0"/>
        <v>Саратов44810</v>
      </c>
      <c r="B54" s="121">
        <v>44810</v>
      </c>
      <c r="C54" s="124" t="s">
        <v>10</v>
      </c>
      <c r="D54" s="131">
        <v>9.0000000000000011E-3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4" t="s">
        <v>39</v>
      </c>
      <c r="D55" s="131">
        <v>0.01</v>
      </c>
    </row>
    <row r="56" spans="1:4" x14ac:dyDescent="0.25">
      <c r="A56" s="123" t="str">
        <f t="shared" si="0"/>
        <v>Тольятти44810</v>
      </c>
      <c r="B56" s="121">
        <v>44810</v>
      </c>
      <c r="C56" s="124" t="s">
        <v>11</v>
      </c>
      <c r="D56" s="131">
        <v>1.1000000000000001E-2</v>
      </c>
    </row>
    <row r="57" spans="1:4" x14ac:dyDescent="0.25">
      <c r="A57" s="123" t="str">
        <f t="shared" si="0"/>
        <v>Тула44810</v>
      </c>
      <c r="B57" s="121">
        <v>44810</v>
      </c>
      <c r="C57" s="124" t="s">
        <v>12</v>
      </c>
      <c r="D57" s="131">
        <v>1.2E-2</v>
      </c>
    </row>
    <row r="58" spans="1:4" x14ac:dyDescent="0.25">
      <c r="A58" s="123" t="str">
        <f t="shared" si="0"/>
        <v>Уфа44810</v>
      </c>
      <c r="B58" s="121">
        <v>44810</v>
      </c>
      <c r="C58" s="124" t="s">
        <v>13</v>
      </c>
      <c r="D58" s="131">
        <v>9.0000000000000011E-3</v>
      </c>
    </row>
    <row r="59" spans="1:4" x14ac:dyDescent="0.25">
      <c r="A59" s="123" t="str">
        <f t="shared" si="0"/>
        <v>Ярославль44810</v>
      </c>
      <c r="B59" s="121">
        <v>44810</v>
      </c>
      <c r="C59" s="124" t="s">
        <v>14</v>
      </c>
      <c r="D59" s="131">
        <v>9.0000000000000011E-3</v>
      </c>
    </row>
    <row r="60" spans="1:4" x14ac:dyDescent="0.25">
      <c r="A60" s="123" t="str">
        <f t="shared" si="0"/>
        <v>ФС44810</v>
      </c>
      <c r="B60" s="121">
        <v>44810</v>
      </c>
      <c r="C60" s="124" t="s">
        <v>15</v>
      </c>
      <c r="D60" s="131">
        <v>9.0000000000000011E-3</v>
      </c>
    </row>
    <row r="61" spans="1:4" x14ac:dyDescent="0.25">
      <c r="A61" s="123" t="str">
        <f t="shared" si="0"/>
        <v>Воронеж44811</v>
      </c>
      <c r="B61" s="121">
        <v>44811</v>
      </c>
      <c r="C61" s="124" t="s">
        <v>5</v>
      </c>
      <c r="D61" s="131">
        <v>6.9999999999999993E-3</v>
      </c>
    </row>
    <row r="62" spans="1:4" x14ac:dyDescent="0.25">
      <c r="A62" s="123" t="str">
        <f t="shared" si="0"/>
        <v>Калининград44811</v>
      </c>
      <c r="B62" s="121">
        <v>44811</v>
      </c>
      <c r="C62" s="124" t="s">
        <v>6</v>
      </c>
      <c r="D62" s="131">
        <v>6.9999999999999993E-3</v>
      </c>
    </row>
    <row r="63" spans="1:4" x14ac:dyDescent="0.25">
      <c r="A63" s="123" t="str">
        <f t="shared" si="0"/>
        <v>Липецк44811</v>
      </c>
      <c r="B63" s="121">
        <v>44811</v>
      </c>
      <c r="C63" s="124" t="s">
        <v>7</v>
      </c>
      <c r="D63" s="131">
        <v>0.01</v>
      </c>
    </row>
    <row r="64" spans="1:4" x14ac:dyDescent="0.25">
      <c r="A64" s="123" t="str">
        <f t="shared" si="0"/>
        <v>Москва44811</v>
      </c>
      <c r="B64" s="121">
        <v>44811</v>
      </c>
      <c r="C64" s="124" t="s">
        <v>8</v>
      </c>
      <c r="D64" s="131">
        <v>0.01</v>
      </c>
    </row>
    <row r="65" spans="1:4" x14ac:dyDescent="0.25">
      <c r="A65" s="123" t="str">
        <f t="shared" si="0"/>
        <v>Наб.Челны44811</v>
      </c>
      <c r="B65" s="121">
        <v>44811</v>
      </c>
      <c r="C65" s="124" t="s">
        <v>37</v>
      </c>
      <c r="D65" s="131">
        <v>6.9999999999999993E-3</v>
      </c>
    </row>
    <row r="66" spans="1:4" x14ac:dyDescent="0.25">
      <c r="A66" s="123" t="str">
        <f t="shared" si="0"/>
        <v>Нижний Новгород44811</v>
      </c>
      <c r="B66" s="121">
        <v>44811</v>
      </c>
      <c r="C66" s="124" t="s">
        <v>38</v>
      </c>
      <c r="D66" s="131">
        <v>1.1000000000000001E-2</v>
      </c>
    </row>
    <row r="67" spans="1:4" x14ac:dyDescent="0.25">
      <c r="A67" s="123" t="str">
        <f t="shared" ref="A67:A74" si="1">C67&amp;B67</f>
        <v>Самара44811</v>
      </c>
      <c r="B67" s="121">
        <v>44811</v>
      </c>
      <c r="C67" s="124" t="s">
        <v>9</v>
      </c>
      <c r="D67" s="131">
        <v>8.0000000000000002E-3</v>
      </c>
    </row>
    <row r="68" spans="1:4" x14ac:dyDescent="0.25">
      <c r="A68" s="123" t="str">
        <f t="shared" si="1"/>
        <v>Саратов44811</v>
      </c>
      <c r="B68" s="121">
        <v>44811</v>
      </c>
      <c r="C68" s="124" t="s">
        <v>10</v>
      </c>
      <c r="D68" s="131">
        <v>0.01</v>
      </c>
    </row>
    <row r="69" spans="1:4" x14ac:dyDescent="0.25">
      <c r="A69" s="123" t="str">
        <f t="shared" si="1"/>
        <v>Старый Оскол44811</v>
      </c>
      <c r="B69" s="121">
        <v>44811</v>
      </c>
      <c r="C69" s="124" t="s">
        <v>39</v>
      </c>
      <c r="D69" s="131">
        <v>1.1000000000000001E-2</v>
      </c>
    </row>
    <row r="70" spans="1:4" x14ac:dyDescent="0.25">
      <c r="A70" s="123" t="str">
        <f t="shared" si="1"/>
        <v>Тольятти44811</v>
      </c>
      <c r="B70" s="121">
        <v>44811</v>
      </c>
      <c r="C70" s="124" t="s">
        <v>11</v>
      </c>
      <c r="D70" s="131">
        <v>1.2E-2</v>
      </c>
    </row>
    <row r="71" spans="1:4" x14ac:dyDescent="0.25">
      <c r="A71" s="123" t="str">
        <f t="shared" si="1"/>
        <v>Тула44811</v>
      </c>
      <c r="B71" s="121">
        <v>44811</v>
      </c>
      <c r="C71" s="124" t="s">
        <v>12</v>
      </c>
      <c r="D71" s="131">
        <v>1.3999999999999999E-2</v>
      </c>
    </row>
    <row r="72" spans="1:4" x14ac:dyDescent="0.25">
      <c r="A72" s="123" t="str">
        <f t="shared" si="1"/>
        <v>Уфа44811</v>
      </c>
      <c r="B72" s="121">
        <v>44811</v>
      </c>
      <c r="C72" s="124" t="s">
        <v>13</v>
      </c>
      <c r="D72" s="131">
        <v>0.01</v>
      </c>
    </row>
    <row r="73" spans="1:4" x14ac:dyDescent="0.25">
      <c r="A73" s="123" t="str">
        <f t="shared" si="1"/>
        <v>Ярославль44811</v>
      </c>
      <c r="B73" s="121">
        <v>44811</v>
      </c>
      <c r="C73" s="124" t="s">
        <v>14</v>
      </c>
      <c r="D73" s="131">
        <v>0.01</v>
      </c>
    </row>
    <row r="74" spans="1:4" x14ac:dyDescent="0.25">
      <c r="A74" s="123" t="str">
        <f t="shared" si="1"/>
        <v>ФС44811</v>
      </c>
      <c r="B74" s="121">
        <v>44811</v>
      </c>
      <c r="C74" s="124" t="s">
        <v>15</v>
      </c>
      <c r="D74" s="131">
        <v>9.0000000000000011E-3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9"/>
  <sheetViews>
    <sheetView workbookViewId="0">
      <pane ySplit="2" topLeftCell="A33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6.28515625" style="121" customWidth="1"/>
    <col min="3" max="3" width="20.140625" style="124" customWidth="1"/>
    <col min="4" max="5" width="16.28515625" style="124" customWidth="1"/>
  </cols>
  <sheetData>
    <row r="1" spans="1:5" ht="15.75" thickBot="1" x14ac:dyDescent="0.3">
      <c r="A1" s="127" t="s">
        <v>62</v>
      </c>
      <c r="B1" s="127" t="s">
        <v>2</v>
      </c>
      <c r="C1" s="130" t="s">
        <v>60</v>
      </c>
      <c r="D1" s="130" t="s">
        <v>63</v>
      </c>
      <c r="E1" s="130" t="s">
        <v>64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>
        <v>3</v>
      </c>
      <c r="E3" s="124">
        <v>193</v>
      </c>
    </row>
    <row r="4" spans="1:5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197</v>
      </c>
      <c r="E4" s="124">
        <v>378</v>
      </c>
    </row>
    <row r="5" spans="1:5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576</v>
      </c>
      <c r="E5" s="124">
        <v>625</v>
      </c>
    </row>
    <row r="6" spans="1:5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1202</v>
      </c>
      <c r="E6" s="124">
        <v>357</v>
      </c>
    </row>
    <row r="7" spans="1:5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1560</v>
      </c>
      <c r="E7" s="124">
        <v>506</v>
      </c>
    </row>
    <row r="8" spans="1:5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2067</v>
      </c>
      <c r="E8" s="124">
        <v>255</v>
      </c>
    </row>
    <row r="9" spans="1:5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2323</v>
      </c>
      <c r="E9" s="124">
        <v>309</v>
      </c>
    </row>
    <row r="10" spans="1:5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2633</v>
      </c>
      <c r="E10" s="124">
        <v>392</v>
      </c>
    </row>
    <row r="11" spans="1:5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3026</v>
      </c>
      <c r="E11" s="124">
        <v>344</v>
      </c>
    </row>
    <row r="12" spans="1:5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3371</v>
      </c>
      <c r="E12" s="124">
        <v>204</v>
      </c>
    </row>
    <row r="13" spans="1:5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3576</v>
      </c>
      <c r="E13" s="124">
        <v>183</v>
      </c>
    </row>
    <row r="14" spans="1:5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3760</v>
      </c>
      <c r="E14" s="124">
        <v>275</v>
      </c>
    </row>
    <row r="15" spans="1:5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4036</v>
      </c>
      <c r="E15" s="124">
        <v>350</v>
      </c>
    </row>
    <row r="16" spans="1:5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>
        <v>4387</v>
      </c>
      <c r="E16" s="124">
        <v>378</v>
      </c>
    </row>
    <row r="17" spans="1:5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>
        <v>3</v>
      </c>
      <c r="E17" s="124">
        <v>194</v>
      </c>
    </row>
    <row r="18" spans="1:5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198</v>
      </c>
      <c r="E18" s="124">
        <v>383</v>
      </c>
    </row>
    <row r="19" spans="1:5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582</v>
      </c>
      <c r="E19" s="124">
        <v>624</v>
      </c>
    </row>
    <row r="20" spans="1:5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1207</v>
      </c>
      <c r="E20" s="124">
        <v>356</v>
      </c>
    </row>
    <row r="21" spans="1:5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1564</v>
      </c>
      <c r="E21" s="124">
        <v>504</v>
      </c>
    </row>
    <row r="22" spans="1:5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2069</v>
      </c>
      <c r="E22" s="124">
        <v>255</v>
      </c>
    </row>
    <row r="23" spans="1:5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2325</v>
      </c>
      <c r="E23" s="124">
        <v>310</v>
      </c>
    </row>
    <row r="24" spans="1:5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2636</v>
      </c>
      <c r="E24" s="124">
        <v>395</v>
      </c>
    </row>
    <row r="25" spans="1:5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3032</v>
      </c>
      <c r="E25" s="124">
        <v>343</v>
      </c>
    </row>
    <row r="26" spans="1:5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3376</v>
      </c>
      <c r="E26" s="124">
        <v>204</v>
      </c>
    </row>
    <row r="27" spans="1:5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3581</v>
      </c>
      <c r="E27" s="124">
        <v>182</v>
      </c>
    </row>
    <row r="28" spans="1:5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3764</v>
      </c>
      <c r="E28" s="124">
        <v>274</v>
      </c>
    </row>
    <row r="29" spans="1:5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4039</v>
      </c>
      <c r="E29" s="124">
        <v>350</v>
      </c>
    </row>
    <row r="30" spans="1:5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4390</v>
      </c>
      <c r="E30" s="124">
        <v>379</v>
      </c>
    </row>
    <row r="31" spans="1:5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3</v>
      </c>
      <c r="E31" s="124">
        <v>375</v>
      </c>
    </row>
    <row r="32" spans="1:5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379</v>
      </c>
      <c r="E32" s="124">
        <v>620</v>
      </c>
    </row>
    <row r="33" spans="1:5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1000</v>
      </c>
      <c r="E33" s="124">
        <v>353</v>
      </c>
    </row>
    <row r="34" spans="1:5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1354</v>
      </c>
      <c r="E34" s="124">
        <v>495</v>
      </c>
    </row>
    <row r="35" spans="1:5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1850</v>
      </c>
      <c r="E35" s="124">
        <v>251</v>
      </c>
    </row>
    <row r="36" spans="1:5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2102</v>
      </c>
      <c r="E36" s="124">
        <v>311</v>
      </c>
    </row>
    <row r="37" spans="1:5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2414</v>
      </c>
      <c r="E37" s="124">
        <v>394</v>
      </c>
    </row>
    <row r="38" spans="1:5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2809</v>
      </c>
      <c r="E38" s="124">
        <v>357</v>
      </c>
    </row>
    <row r="39" spans="1:5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3167</v>
      </c>
      <c r="E39" s="124">
        <v>217</v>
      </c>
    </row>
    <row r="40" spans="1:5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3385</v>
      </c>
      <c r="E40" s="124">
        <v>182</v>
      </c>
    </row>
    <row r="41" spans="1:5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3568</v>
      </c>
      <c r="E41" s="124">
        <v>266</v>
      </c>
    </row>
    <row r="42" spans="1:5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3835</v>
      </c>
      <c r="E42" s="124">
        <v>347</v>
      </c>
    </row>
    <row r="43" spans="1:5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4183</v>
      </c>
      <c r="E43" s="124">
        <v>376</v>
      </c>
    </row>
    <row r="44" spans="1:5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3</v>
      </c>
      <c r="E44" s="124">
        <v>381</v>
      </c>
    </row>
    <row r="45" spans="1:5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385</v>
      </c>
      <c r="E45" s="124">
        <v>625</v>
      </c>
    </row>
    <row r="46" spans="1:5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1011</v>
      </c>
      <c r="E46" s="124">
        <v>352</v>
      </c>
    </row>
    <row r="47" spans="1:5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1364</v>
      </c>
      <c r="E47" s="124">
        <v>501</v>
      </c>
    </row>
    <row r="48" spans="1:5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1866</v>
      </c>
      <c r="E48" s="124">
        <v>257</v>
      </c>
    </row>
    <row r="49" spans="1:5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2124</v>
      </c>
      <c r="E49" s="124">
        <v>316</v>
      </c>
    </row>
    <row r="50" spans="1:5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2441</v>
      </c>
      <c r="E50" s="124">
        <v>397</v>
      </c>
    </row>
    <row r="51" spans="1:5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2839</v>
      </c>
      <c r="E51" s="124">
        <v>343</v>
      </c>
    </row>
    <row r="52" spans="1:5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3183</v>
      </c>
      <c r="E52" s="124">
        <v>215</v>
      </c>
    </row>
    <row r="53" spans="1:5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3399</v>
      </c>
      <c r="E53" s="124">
        <v>184</v>
      </c>
    </row>
    <row r="54" spans="1:5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3584</v>
      </c>
      <c r="E54" s="124">
        <v>273</v>
      </c>
    </row>
    <row r="55" spans="1:5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3858</v>
      </c>
      <c r="E55" s="124">
        <v>355</v>
      </c>
    </row>
    <row r="56" spans="1:5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4214</v>
      </c>
      <c r="E56" s="124">
        <v>379</v>
      </c>
    </row>
    <row r="57" spans="1:5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3</v>
      </c>
      <c r="E57" s="124">
        <v>381</v>
      </c>
    </row>
    <row r="58" spans="1:5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385</v>
      </c>
      <c r="E58" s="124">
        <v>626</v>
      </c>
    </row>
    <row r="59" spans="1:5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1012</v>
      </c>
      <c r="E59" s="124">
        <v>352</v>
      </c>
    </row>
    <row r="60" spans="1:5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1365</v>
      </c>
      <c r="E60" s="124">
        <v>502</v>
      </c>
    </row>
    <row r="61" spans="1:5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1868</v>
      </c>
      <c r="E61" s="124">
        <v>257</v>
      </c>
    </row>
    <row r="62" spans="1:5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2126</v>
      </c>
      <c r="E62" s="124">
        <v>346</v>
      </c>
    </row>
    <row r="63" spans="1:5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2473</v>
      </c>
      <c r="E63" s="124">
        <v>396</v>
      </c>
    </row>
    <row r="64" spans="1:5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2870</v>
      </c>
      <c r="E64" s="124">
        <v>342</v>
      </c>
    </row>
    <row r="65" spans="1:5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3213</v>
      </c>
      <c r="E65" s="124">
        <v>216</v>
      </c>
    </row>
    <row r="66" spans="1:5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3430</v>
      </c>
      <c r="E66" s="124">
        <v>184</v>
      </c>
    </row>
    <row r="67" spans="1:5" x14ac:dyDescent="0.25">
      <c r="A67" s="123" t="str">
        <f t="shared" ref="A67:A69" si="1">C67&amp;B67</f>
        <v>Тула44811</v>
      </c>
      <c r="B67" s="121">
        <v>44811</v>
      </c>
      <c r="C67" s="124" t="s">
        <v>12</v>
      </c>
      <c r="D67" s="124">
        <v>3615</v>
      </c>
      <c r="E67" s="124">
        <v>271</v>
      </c>
    </row>
    <row r="68" spans="1:5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3887</v>
      </c>
      <c r="E68" s="124">
        <v>356</v>
      </c>
    </row>
    <row r="69" spans="1:5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4244</v>
      </c>
      <c r="E69" s="124">
        <v>380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9"/>
  <sheetViews>
    <sheetView workbookViewId="0">
      <pane ySplit="2" topLeftCell="A39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20</v>
      </c>
    </row>
    <row r="4" spans="1:4" x14ac:dyDescent="0.25">
      <c r="A4" s="123" t="str">
        <f t="shared" si="0"/>
        <v>Воронеж44805</v>
      </c>
      <c r="B4" s="121">
        <v>44805</v>
      </c>
      <c r="C4" s="122" t="s">
        <v>5</v>
      </c>
      <c r="D4" s="122">
        <v>17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15</v>
      </c>
    </row>
    <row r="6" spans="1:4" x14ac:dyDescent="0.25">
      <c r="A6" s="123" t="str">
        <f t="shared" si="0"/>
        <v>Тула44805</v>
      </c>
      <c r="B6" s="121">
        <v>44805</v>
      </c>
      <c r="C6" s="122" t="s">
        <v>12</v>
      </c>
      <c r="D6" s="122">
        <v>15</v>
      </c>
    </row>
    <row r="7" spans="1:4" x14ac:dyDescent="0.25">
      <c r="A7" s="123" t="str">
        <f t="shared" si="0"/>
        <v>Москва44805</v>
      </c>
      <c r="B7" s="121">
        <v>44805</v>
      </c>
      <c r="C7" s="122" t="s">
        <v>8</v>
      </c>
      <c r="D7" s="122">
        <v>14</v>
      </c>
    </row>
    <row r="8" spans="1:4" x14ac:dyDescent="0.25">
      <c r="A8" s="123" t="str">
        <f t="shared" si="0"/>
        <v>Белгород44805</v>
      </c>
      <c r="B8" s="121">
        <v>44805</v>
      </c>
      <c r="C8" s="122" t="s">
        <v>4</v>
      </c>
      <c r="D8" s="122">
        <v>13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2" t="s">
        <v>38</v>
      </c>
      <c r="D9" s="122">
        <v>12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9</v>
      </c>
    </row>
    <row r="11" spans="1:4" x14ac:dyDescent="0.25">
      <c r="A11" s="123" t="str">
        <f t="shared" si="0"/>
        <v>Уфа44805</v>
      </c>
      <c r="B11" s="121">
        <v>44805</v>
      </c>
      <c r="C11" s="122" t="s">
        <v>13</v>
      </c>
      <c r="D11" s="122">
        <v>8</v>
      </c>
    </row>
    <row r="12" spans="1:4" x14ac:dyDescent="0.25">
      <c r="A12" s="123" t="str">
        <f t="shared" si="0"/>
        <v>Самара44805</v>
      </c>
      <c r="B12" s="121">
        <v>44805</v>
      </c>
      <c r="C12" s="122" t="s">
        <v>9</v>
      </c>
      <c r="D12" s="122">
        <v>7</v>
      </c>
    </row>
    <row r="13" spans="1:4" x14ac:dyDescent="0.25">
      <c r="A13" s="123" t="str">
        <f t="shared" si="0"/>
        <v>Саратов44805</v>
      </c>
      <c r="B13" s="121">
        <v>44805</v>
      </c>
      <c r="C13" s="122" t="s">
        <v>10</v>
      </c>
      <c r="D13" s="122">
        <v>5</v>
      </c>
    </row>
    <row r="14" spans="1:4" x14ac:dyDescent="0.25">
      <c r="A14" s="123" t="str">
        <f t="shared" si="0"/>
        <v>Тольятти44805</v>
      </c>
      <c r="B14" s="121">
        <v>44805</v>
      </c>
      <c r="C14" s="122" t="s">
        <v>11</v>
      </c>
      <c r="D14" s="122">
        <v>3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3</v>
      </c>
    </row>
    <row r="16" spans="1:4" x14ac:dyDescent="0.25">
      <c r="A16" s="123" t="str">
        <f t="shared" si="0"/>
        <v>Наб.Челны44805</v>
      </c>
      <c r="B16" s="121">
        <v>44805</v>
      </c>
      <c r="C16" s="122" t="s">
        <v>37</v>
      </c>
      <c r="D16" s="122">
        <v>1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17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Тула44806</v>
      </c>
      <c r="B19" s="121">
        <v>44806</v>
      </c>
      <c r="C19" s="122" t="s">
        <v>12</v>
      </c>
      <c r="D19" s="122">
        <v>15</v>
      </c>
    </row>
    <row r="20" spans="1:4" x14ac:dyDescent="0.25">
      <c r="A20" s="123" t="str">
        <f t="shared" si="0"/>
        <v>Воронеж44806</v>
      </c>
      <c r="B20" s="121">
        <v>44806</v>
      </c>
      <c r="C20" s="122" t="s">
        <v>5</v>
      </c>
      <c r="D20" s="122">
        <v>14</v>
      </c>
    </row>
    <row r="21" spans="1:4" x14ac:dyDescent="0.25">
      <c r="A21" s="123" t="str">
        <f t="shared" si="0"/>
        <v>Белгород44806</v>
      </c>
      <c r="B21" s="121">
        <v>44806</v>
      </c>
      <c r="C21" s="122" t="s">
        <v>4</v>
      </c>
      <c r="D21" s="122">
        <v>13</v>
      </c>
    </row>
    <row r="22" spans="1:4" x14ac:dyDescent="0.25">
      <c r="A22" s="123" t="str">
        <f t="shared" si="0"/>
        <v>Москва44806</v>
      </c>
      <c r="B22" s="121">
        <v>44806</v>
      </c>
      <c r="C22" s="122" t="s">
        <v>8</v>
      </c>
      <c r="D22" s="122">
        <v>13</v>
      </c>
    </row>
    <row r="23" spans="1:4" x14ac:dyDescent="0.25">
      <c r="A23" s="123" t="str">
        <f t="shared" si="0"/>
        <v>Нижний Новгород44806</v>
      </c>
      <c r="B23" s="121">
        <v>44806</v>
      </c>
      <c r="C23" s="122" t="s">
        <v>38</v>
      </c>
      <c r="D23" s="122">
        <v>11</v>
      </c>
    </row>
    <row r="24" spans="1:4" x14ac:dyDescent="0.25">
      <c r="A24" s="123" t="str">
        <f t="shared" si="0"/>
        <v>Ярославль44806</v>
      </c>
      <c r="B24" s="121">
        <v>44806</v>
      </c>
      <c r="C24" s="122" t="s">
        <v>14</v>
      </c>
      <c r="D24" s="122">
        <v>8</v>
      </c>
    </row>
    <row r="25" spans="1:4" x14ac:dyDescent="0.25">
      <c r="A25" s="123" t="str">
        <f t="shared" si="0"/>
        <v>Самара44806</v>
      </c>
      <c r="B25" s="121">
        <v>44806</v>
      </c>
      <c r="C25" s="122" t="s">
        <v>9</v>
      </c>
      <c r="D25" s="122">
        <v>7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6</v>
      </c>
    </row>
    <row r="27" spans="1:4" x14ac:dyDescent="0.25">
      <c r="A27" s="123" t="str">
        <f t="shared" si="0"/>
        <v>Саратов44806</v>
      </c>
      <c r="B27" s="121">
        <v>44806</v>
      </c>
      <c r="C27" s="122" t="s">
        <v>10</v>
      </c>
      <c r="D27" s="122">
        <v>4</v>
      </c>
    </row>
    <row r="28" spans="1:4" x14ac:dyDescent="0.25">
      <c r="A28" s="123" t="str">
        <f t="shared" si="0"/>
        <v>Тольятти44806</v>
      </c>
      <c r="B28" s="121">
        <v>44806</v>
      </c>
      <c r="C28" s="122" t="s">
        <v>11</v>
      </c>
      <c r="D28" s="122">
        <v>3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3</v>
      </c>
    </row>
    <row r="30" spans="1:4" x14ac:dyDescent="0.25">
      <c r="A30" s="123" t="str">
        <f t="shared" si="0"/>
        <v>Наб.Челны44806</v>
      </c>
      <c r="B30" s="121">
        <v>44806</v>
      </c>
      <c r="C30" s="122" t="s">
        <v>37</v>
      </c>
      <c r="D30" s="122">
        <v>1</v>
      </c>
    </row>
    <row r="31" spans="1:4" x14ac:dyDescent="0.25">
      <c r="A31" s="123" t="str">
        <f t="shared" si="0"/>
        <v>Москва44809</v>
      </c>
      <c r="B31" s="121">
        <v>44809</v>
      </c>
      <c r="C31" s="122" t="s">
        <v>8</v>
      </c>
      <c r="D31" s="122">
        <v>14</v>
      </c>
    </row>
    <row r="32" spans="1:4" x14ac:dyDescent="0.25">
      <c r="A32" s="123" t="str">
        <f t="shared" si="0"/>
        <v>Тула44809</v>
      </c>
      <c r="B32" s="121">
        <v>44809</v>
      </c>
      <c r="C32" s="122" t="s">
        <v>12</v>
      </c>
      <c r="D32" s="122">
        <v>14</v>
      </c>
    </row>
    <row r="33" spans="1:4" x14ac:dyDescent="0.25">
      <c r="A33" s="123" t="str">
        <f t="shared" si="0"/>
        <v>Калининград44809</v>
      </c>
      <c r="B33" s="121">
        <v>44809</v>
      </c>
      <c r="C33" s="122" t="s">
        <v>6</v>
      </c>
      <c r="D33" s="122">
        <v>12</v>
      </c>
    </row>
    <row r="34" spans="1:4" x14ac:dyDescent="0.25">
      <c r="A34" s="123" t="str">
        <f t="shared" si="0"/>
        <v>Нижний Новгород44809</v>
      </c>
      <c r="B34" s="121">
        <v>44809</v>
      </c>
      <c r="C34" s="122" t="s">
        <v>38</v>
      </c>
      <c r="D34" s="122">
        <v>11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10</v>
      </c>
    </row>
    <row r="36" spans="1:4" x14ac:dyDescent="0.25">
      <c r="A36" s="123" t="str">
        <f t="shared" si="0"/>
        <v>Самара44809</v>
      </c>
      <c r="B36" s="121">
        <v>44809</v>
      </c>
      <c r="C36" s="122" t="s">
        <v>9</v>
      </c>
      <c r="D36" s="122">
        <v>7</v>
      </c>
    </row>
    <row r="37" spans="1:4" x14ac:dyDescent="0.25">
      <c r="A37" s="123" t="str">
        <f t="shared" si="0"/>
        <v>Липецк44809</v>
      </c>
      <c r="B37" s="121">
        <v>44809</v>
      </c>
      <c r="C37" s="122" t="s">
        <v>7</v>
      </c>
      <c r="D37" s="122">
        <v>7</v>
      </c>
    </row>
    <row r="38" spans="1:4" x14ac:dyDescent="0.25">
      <c r="A38" s="123" t="str">
        <f t="shared" si="0"/>
        <v>Саратов44809</v>
      </c>
      <c r="B38" s="121">
        <v>44809</v>
      </c>
      <c r="C38" s="122" t="s">
        <v>10</v>
      </c>
      <c r="D38" s="122">
        <v>5</v>
      </c>
    </row>
    <row r="39" spans="1:4" x14ac:dyDescent="0.25">
      <c r="A39" s="123" t="str">
        <f t="shared" si="0"/>
        <v>Ярославль44809</v>
      </c>
      <c r="B39" s="121">
        <v>44809</v>
      </c>
      <c r="C39" s="122" t="s">
        <v>14</v>
      </c>
      <c r="D39" s="122">
        <v>5</v>
      </c>
    </row>
    <row r="40" spans="1:4" x14ac:dyDescent="0.25">
      <c r="A40" s="123" t="str">
        <f t="shared" si="0"/>
        <v>Тольятти44809</v>
      </c>
      <c r="B40" s="121">
        <v>44809</v>
      </c>
      <c r="C40" s="122" t="s">
        <v>11</v>
      </c>
      <c r="D40" s="122">
        <v>4</v>
      </c>
    </row>
    <row r="41" spans="1:4" x14ac:dyDescent="0.25">
      <c r="A41" s="123" t="str">
        <f t="shared" si="0"/>
        <v>Уфа44809</v>
      </c>
      <c r="B41" s="121">
        <v>44809</v>
      </c>
      <c r="C41" s="122" t="s">
        <v>13</v>
      </c>
      <c r="D41" s="122">
        <v>3</v>
      </c>
    </row>
    <row r="42" spans="1:4" x14ac:dyDescent="0.25">
      <c r="A42" s="123" t="str">
        <f t="shared" si="0"/>
        <v>Старый Оскол44809</v>
      </c>
      <c r="B42" s="121">
        <v>44809</v>
      </c>
      <c r="C42" s="122" t="s">
        <v>39</v>
      </c>
      <c r="D42" s="122">
        <v>3</v>
      </c>
    </row>
    <row r="43" spans="1:4" x14ac:dyDescent="0.25">
      <c r="A43" s="123" t="str">
        <f t="shared" si="0"/>
        <v>Наб.Челны44809</v>
      </c>
      <c r="B43" s="121">
        <v>44809</v>
      </c>
      <c r="C43" s="122" t="s">
        <v>37</v>
      </c>
      <c r="D43" s="122">
        <v>2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13</v>
      </c>
    </row>
    <row r="45" spans="1:4" x14ac:dyDescent="0.25">
      <c r="A45" s="123" t="str">
        <f t="shared" si="0"/>
        <v>Москва44810</v>
      </c>
      <c r="B45" s="121">
        <v>44810</v>
      </c>
      <c r="C45" s="122" t="s">
        <v>8</v>
      </c>
      <c r="D45" s="122">
        <v>11</v>
      </c>
    </row>
    <row r="46" spans="1:4" x14ac:dyDescent="0.25">
      <c r="A46" s="123" t="str">
        <f t="shared" si="0"/>
        <v>Липецк44810</v>
      </c>
      <c r="B46" s="121">
        <v>44810</v>
      </c>
      <c r="C46" s="122" t="s">
        <v>7</v>
      </c>
      <c r="D46" s="122">
        <v>10</v>
      </c>
    </row>
    <row r="47" spans="1:4" x14ac:dyDescent="0.25">
      <c r="A47" s="123" t="str">
        <f t="shared" si="0"/>
        <v>Тула44810</v>
      </c>
      <c r="B47" s="121">
        <v>44810</v>
      </c>
      <c r="C47" s="122" t="s">
        <v>12</v>
      </c>
      <c r="D47" s="122">
        <v>10</v>
      </c>
    </row>
    <row r="48" spans="1:4" x14ac:dyDescent="0.25">
      <c r="A48" s="123" t="str">
        <f t="shared" si="0"/>
        <v>Нижний Новгород44810</v>
      </c>
      <c r="B48" s="121">
        <v>44810</v>
      </c>
      <c r="C48" s="122" t="s">
        <v>38</v>
      </c>
      <c r="D48" s="122">
        <v>9</v>
      </c>
    </row>
    <row r="49" spans="1:4" x14ac:dyDescent="0.25">
      <c r="A49" s="123" t="str">
        <f t="shared" si="0"/>
        <v>Самара44810</v>
      </c>
      <c r="B49" s="121">
        <v>44810</v>
      </c>
      <c r="C49" s="122" t="s">
        <v>9</v>
      </c>
      <c r="D49" s="122">
        <v>7</v>
      </c>
    </row>
    <row r="50" spans="1:4" x14ac:dyDescent="0.25">
      <c r="A50" s="123" t="str">
        <f t="shared" si="0"/>
        <v>Саратов44810</v>
      </c>
      <c r="B50" s="121">
        <v>44810</v>
      </c>
      <c r="C50" s="122" t="s">
        <v>10</v>
      </c>
      <c r="D50" s="122">
        <v>6</v>
      </c>
    </row>
    <row r="51" spans="1:4" x14ac:dyDescent="0.25">
      <c r="A51" s="123" t="str">
        <f t="shared" si="0"/>
        <v>Ярославль44810</v>
      </c>
      <c r="B51" s="121">
        <v>44810</v>
      </c>
      <c r="C51" s="122" t="s">
        <v>14</v>
      </c>
      <c r="D51" s="122">
        <v>6</v>
      </c>
    </row>
    <row r="52" spans="1:4" x14ac:dyDescent="0.25">
      <c r="A52" s="123" t="str">
        <f t="shared" si="0"/>
        <v>Уфа44810</v>
      </c>
      <c r="B52" s="121">
        <v>44810</v>
      </c>
      <c r="C52" s="122" t="s">
        <v>13</v>
      </c>
      <c r="D52" s="122">
        <v>5</v>
      </c>
    </row>
    <row r="53" spans="1:4" x14ac:dyDescent="0.25">
      <c r="A53" s="123" t="str">
        <f t="shared" si="0"/>
        <v>Воронеж44810</v>
      </c>
      <c r="B53" s="121">
        <v>44810</v>
      </c>
      <c r="C53" s="122" t="s">
        <v>5</v>
      </c>
      <c r="D53" s="122">
        <v>5</v>
      </c>
    </row>
    <row r="54" spans="1:4" x14ac:dyDescent="0.25">
      <c r="A54" s="123" t="str">
        <f t="shared" si="0"/>
        <v>Тольятти44810</v>
      </c>
      <c r="B54" s="121">
        <v>44810</v>
      </c>
      <c r="C54" s="122" t="s">
        <v>11</v>
      </c>
      <c r="D54" s="122">
        <v>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2" t="s">
        <v>39</v>
      </c>
      <c r="D55" s="122">
        <v>3</v>
      </c>
    </row>
    <row r="56" spans="1:4" x14ac:dyDescent="0.25">
      <c r="A56" s="123" t="str">
        <f t="shared" si="0"/>
        <v>Наб.Челны44810</v>
      </c>
      <c r="B56" s="121">
        <v>44810</v>
      </c>
      <c r="C56" s="122" t="s">
        <v>37</v>
      </c>
      <c r="D56" s="122">
        <v>3</v>
      </c>
    </row>
    <row r="57" spans="1:4" x14ac:dyDescent="0.25">
      <c r="A57" s="123" t="str">
        <f t="shared" si="0"/>
        <v>Липецк44811</v>
      </c>
      <c r="B57" s="121">
        <v>44811</v>
      </c>
      <c r="C57" s="122" t="s">
        <v>7</v>
      </c>
      <c r="D57" s="122">
        <v>12</v>
      </c>
    </row>
    <row r="58" spans="1:4" x14ac:dyDescent="0.25">
      <c r="A58" s="123" t="str">
        <f t="shared" si="0"/>
        <v>Москва44811</v>
      </c>
      <c r="B58" s="121">
        <v>44811</v>
      </c>
      <c r="C58" s="122" t="s">
        <v>8</v>
      </c>
      <c r="D58" s="122">
        <v>11</v>
      </c>
    </row>
    <row r="59" spans="1:4" x14ac:dyDescent="0.25">
      <c r="A59" s="123" t="str">
        <f t="shared" si="0"/>
        <v>Тула44811</v>
      </c>
      <c r="B59" s="121">
        <v>44811</v>
      </c>
      <c r="C59" s="122" t="s">
        <v>12</v>
      </c>
      <c r="D59" s="122">
        <v>11</v>
      </c>
    </row>
    <row r="60" spans="1:4" x14ac:dyDescent="0.25">
      <c r="A60" s="123" t="str">
        <f t="shared" si="0"/>
        <v>Калининград44811</v>
      </c>
      <c r="B60" s="121">
        <v>44811</v>
      </c>
      <c r="C60" s="122" t="s">
        <v>6</v>
      </c>
      <c r="D60" s="122">
        <v>9</v>
      </c>
    </row>
    <row r="61" spans="1:4" x14ac:dyDescent="0.25">
      <c r="A61" s="123" t="str">
        <f t="shared" si="0"/>
        <v>Нижний Новгород44811</v>
      </c>
      <c r="B61" s="121">
        <v>44811</v>
      </c>
      <c r="C61" s="122" t="s">
        <v>38</v>
      </c>
      <c r="D61" s="122">
        <v>8</v>
      </c>
    </row>
    <row r="62" spans="1:4" x14ac:dyDescent="0.25">
      <c r="A62" s="123" t="str">
        <f t="shared" si="0"/>
        <v>Самара44811</v>
      </c>
      <c r="B62" s="121">
        <v>44811</v>
      </c>
      <c r="C62" s="122" t="s">
        <v>9</v>
      </c>
      <c r="D62" s="122">
        <v>7</v>
      </c>
    </row>
    <row r="63" spans="1:4" x14ac:dyDescent="0.25">
      <c r="A63" s="123" t="str">
        <f t="shared" si="0"/>
        <v>Уфа44811</v>
      </c>
      <c r="B63" s="121">
        <v>44811</v>
      </c>
      <c r="C63" s="122" t="s">
        <v>13</v>
      </c>
      <c r="D63" s="122">
        <v>7</v>
      </c>
    </row>
    <row r="64" spans="1:4" x14ac:dyDescent="0.25">
      <c r="A64" s="123" t="str">
        <f t="shared" si="0"/>
        <v>Ярославль44811</v>
      </c>
      <c r="B64" s="121">
        <v>44811</v>
      </c>
      <c r="C64" s="122" t="s">
        <v>14</v>
      </c>
      <c r="D64" s="122">
        <v>7</v>
      </c>
    </row>
    <row r="65" spans="1:4" x14ac:dyDescent="0.25">
      <c r="A65" s="123" t="str">
        <f t="shared" si="0"/>
        <v>Старый Оскол44811</v>
      </c>
      <c r="B65" s="121">
        <v>44811</v>
      </c>
      <c r="C65" s="122" t="s">
        <v>39</v>
      </c>
      <c r="D65" s="122">
        <v>4</v>
      </c>
    </row>
    <row r="66" spans="1:4" x14ac:dyDescent="0.25">
      <c r="A66" s="123" t="str">
        <f t="shared" si="0"/>
        <v>Саратов44811</v>
      </c>
      <c r="B66" s="121">
        <v>44811</v>
      </c>
      <c r="C66" s="122" t="s">
        <v>10</v>
      </c>
      <c r="D66" s="122">
        <v>3</v>
      </c>
    </row>
    <row r="67" spans="1:4" x14ac:dyDescent="0.25">
      <c r="A67" s="123" t="str">
        <f t="shared" ref="A67:A69" si="1">C67&amp;B67</f>
        <v>Тольятти44811</v>
      </c>
      <c r="B67" s="121">
        <v>44811</v>
      </c>
      <c r="C67" s="122" t="s">
        <v>11</v>
      </c>
      <c r="D67" s="122">
        <v>2</v>
      </c>
    </row>
    <row r="68" spans="1:4" x14ac:dyDescent="0.25">
      <c r="A68" s="123" t="str">
        <f t="shared" si="1"/>
        <v>Воронеж44811</v>
      </c>
      <c r="B68" s="121">
        <v>44811</v>
      </c>
      <c r="C68" s="122" t="s">
        <v>5</v>
      </c>
      <c r="D68" s="122">
        <v>2</v>
      </c>
    </row>
    <row r="69" spans="1:4" x14ac:dyDescent="0.25">
      <c r="A69" s="123" t="str">
        <f t="shared" si="1"/>
        <v>Наб.Челны44811</v>
      </c>
      <c r="B69" s="121">
        <v>44811</v>
      </c>
      <c r="C69" s="122" t="s">
        <v>37</v>
      </c>
      <c r="D69" s="12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69"/>
  <sheetViews>
    <sheetView workbookViewId="0">
      <pane ySplit="2" topLeftCell="A37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35</v>
      </c>
    </row>
    <row r="4" spans="1:4" x14ac:dyDescent="0.25">
      <c r="A4" s="123" t="str">
        <f t="shared" si="0"/>
        <v>Москва44805</v>
      </c>
      <c r="B4" s="121">
        <v>44805</v>
      </c>
      <c r="C4" s="122" t="s">
        <v>8</v>
      </c>
      <c r="D4" s="122">
        <v>15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25</v>
      </c>
    </row>
    <row r="6" spans="1:4" x14ac:dyDescent="0.25">
      <c r="A6" s="123" t="str">
        <f t="shared" si="0"/>
        <v>Самара44805</v>
      </c>
      <c r="B6" s="121">
        <v>44805</v>
      </c>
      <c r="C6" s="122" t="s">
        <v>9</v>
      </c>
      <c r="D6" s="122">
        <v>13</v>
      </c>
    </row>
    <row r="7" spans="1:4" x14ac:dyDescent="0.25">
      <c r="A7" s="123" t="str">
        <f t="shared" si="0"/>
        <v>Уфа44805</v>
      </c>
      <c r="B7" s="121">
        <v>44805</v>
      </c>
      <c r="C7" s="122" t="s">
        <v>13</v>
      </c>
      <c r="D7" s="122">
        <v>13</v>
      </c>
    </row>
    <row r="8" spans="1:4" x14ac:dyDescent="0.25">
      <c r="A8" s="123" t="str">
        <f t="shared" si="0"/>
        <v>Нижний Новгород44805</v>
      </c>
      <c r="B8" s="121">
        <v>44805</v>
      </c>
      <c r="C8" s="122" t="s">
        <v>38</v>
      </c>
      <c r="D8" s="122">
        <v>19</v>
      </c>
    </row>
    <row r="9" spans="1:4" x14ac:dyDescent="0.25">
      <c r="A9" s="123" t="str">
        <f t="shared" si="0"/>
        <v>Саратов44805</v>
      </c>
      <c r="B9" s="121">
        <v>44805</v>
      </c>
      <c r="C9" s="122" t="s">
        <v>10</v>
      </c>
      <c r="D9" s="122">
        <v>20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22</v>
      </c>
    </row>
    <row r="11" spans="1:4" x14ac:dyDescent="0.25">
      <c r="A11" s="123" t="str">
        <f t="shared" si="0"/>
        <v>Воронеж44805</v>
      </c>
      <c r="B11" s="121">
        <v>44805</v>
      </c>
      <c r="C11" s="122" t="s">
        <v>5</v>
      </c>
      <c r="D11" s="122">
        <v>22</v>
      </c>
    </row>
    <row r="12" spans="1:4" x14ac:dyDescent="0.25">
      <c r="A12" s="123" t="str">
        <f t="shared" si="0"/>
        <v>Наб.Челны44805</v>
      </c>
      <c r="B12" s="121">
        <v>44805</v>
      </c>
      <c r="C12" s="122" t="s">
        <v>37</v>
      </c>
      <c r="D12" s="122">
        <v>17</v>
      </c>
    </row>
    <row r="13" spans="1:4" x14ac:dyDescent="0.25">
      <c r="A13" s="123" t="str">
        <f t="shared" si="0"/>
        <v>Белгород44805</v>
      </c>
      <c r="B13" s="121">
        <v>44805</v>
      </c>
      <c r="C13" s="122" t="s">
        <v>4</v>
      </c>
      <c r="D13" s="122">
        <v>15</v>
      </c>
    </row>
    <row r="14" spans="1:4" x14ac:dyDescent="0.25">
      <c r="A14" s="123" t="str">
        <f t="shared" si="0"/>
        <v>Тула44805</v>
      </c>
      <c r="B14" s="121">
        <v>44805</v>
      </c>
      <c r="C14" s="122" t="s">
        <v>12</v>
      </c>
      <c r="D14" s="122">
        <v>15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8</v>
      </c>
    </row>
    <row r="16" spans="1:4" x14ac:dyDescent="0.25">
      <c r="A16" s="123" t="str">
        <f t="shared" si="0"/>
        <v>Тольятти44805</v>
      </c>
      <c r="B16" s="121">
        <v>44805</v>
      </c>
      <c r="C16" s="122" t="s">
        <v>11</v>
      </c>
      <c r="D16" s="122">
        <v>8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23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Воронеж44806</v>
      </c>
      <c r="B19" s="121">
        <v>44806</v>
      </c>
      <c r="C19" s="122" t="s">
        <v>5</v>
      </c>
      <c r="D19" s="122">
        <v>8</v>
      </c>
    </row>
    <row r="20" spans="1:4" x14ac:dyDescent="0.25">
      <c r="A20" s="123" t="str">
        <f t="shared" si="0"/>
        <v>Ярославль44806</v>
      </c>
      <c r="B20" s="121">
        <v>44806</v>
      </c>
      <c r="C20" s="122" t="s">
        <v>14</v>
      </c>
      <c r="D20" s="122">
        <v>13</v>
      </c>
    </row>
    <row r="21" spans="1:4" x14ac:dyDescent="0.25">
      <c r="A21" s="123" t="str">
        <f t="shared" si="0"/>
        <v>Саратов44806</v>
      </c>
      <c r="B21" s="121">
        <v>44806</v>
      </c>
      <c r="C21" s="122" t="s">
        <v>10</v>
      </c>
      <c r="D21" s="122">
        <v>6</v>
      </c>
    </row>
    <row r="22" spans="1:4" x14ac:dyDescent="0.25">
      <c r="A22" s="123" t="str">
        <f t="shared" si="0"/>
        <v>Нижний Новгород44806</v>
      </c>
      <c r="B22" s="121">
        <v>44806</v>
      </c>
      <c r="C22" s="122" t="s">
        <v>38</v>
      </c>
      <c r="D22" s="122">
        <v>12</v>
      </c>
    </row>
    <row r="23" spans="1:4" x14ac:dyDescent="0.25">
      <c r="A23" s="123" t="str">
        <f t="shared" si="0"/>
        <v>Наб.Челны44806</v>
      </c>
      <c r="B23" s="121">
        <v>44806</v>
      </c>
      <c r="C23" s="122" t="s">
        <v>37</v>
      </c>
      <c r="D23" s="122">
        <v>3</v>
      </c>
    </row>
    <row r="24" spans="1:4" x14ac:dyDescent="0.25">
      <c r="A24" s="123" t="str">
        <f t="shared" si="0"/>
        <v>Белгород44806</v>
      </c>
      <c r="B24" s="121">
        <v>44806</v>
      </c>
      <c r="C24" s="122" t="s">
        <v>4</v>
      </c>
      <c r="D24" s="122">
        <v>12</v>
      </c>
    </row>
    <row r="25" spans="1:4" x14ac:dyDescent="0.25">
      <c r="A25" s="123" t="str">
        <f t="shared" si="0"/>
        <v>Москва44806</v>
      </c>
      <c r="B25" s="121">
        <v>44806</v>
      </c>
      <c r="C25" s="122" t="s">
        <v>8</v>
      </c>
      <c r="D25" s="122">
        <v>8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10</v>
      </c>
    </row>
    <row r="27" spans="1:4" x14ac:dyDescent="0.25">
      <c r="A27" s="123" t="str">
        <f t="shared" si="0"/>
        <v>Тула44806</v>
      </c>
      <c r="B27" s="121">
        <v>44806</v>
      </c>
      <c r="C27" s="122" t="s">
        <v>12</v>
      </c>
      <c r="D27" s="122">
        <v>10</v>
      </c>
    </row>
    <row r="28" spans="1:4" x14ac:dyDescent="0.25">
      <c r="A28" s="123" t="str">
        <f t="shared" si="0"/>
        <v>Самара44806</v>
      </c>
      <c r="B28" s="121">
        <v>44806</v>
      </c>
      <c r="C28" s="122" t="s">
        <v>9</v>
      </c>
      <c r="D28" s="122">
        <v>4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4</v>
      </c>
    </row>
    <row r="30" spans="1:4" x14ac:dyDescent="0.25">
      <c r="A30" s="123" t="str">
        <f t="shared" si="0"/>
        <v>Тольятти44806</v>
      </c>
      <c r="B30" s="121">
        <v>44806</v>
      </c>
      <c r="C30" s="122" t="s">
        <v>11</v>
      </c>
      <c r="D30" s="122">
        <v>1</v>
      </c>
    </row>
    <row r="31" spans="1:4" x14ac:dyDescent="0.25">
      <c r="A31" s="123" t="str">
        <f t="shared" si="0"/>
        <v>Калининград44809</v>
      </c>
      <c r="B31" s="121">
        <v>44809</v>
      </c>
      <c r="C31" s="122" t="s">
        <v>6</v>
      </c>
      <c r="D31" s="122">
        <v>12</v>
      </c>
    </row>
    <row r="32" spans="1:4" x14ac:dyDescent="0.25">
      <c r="A32" s="123" t="str">
        <f t="shared" si="0"/>
        <v>Липецк44809</v>
      </c>
      <c r="B32" s="121">
        <v>44809</v>
      </c>
      <c r="C32" s="122" t="s">
        <v>7</v>
      </c>
      <c r="D32" s="122">
        <v>10</v>
      </c>
    </row>
    <row r="33" spans="1:4" x14ac:dyDescent="0.25">
      <c r="A33" s="123" t="str">
        <f t="shared" si="0"/>
        <v>Нижний Новгород44809</v>
      </c>
      <c r="B33" s="121">
        <v>44809</v>
      </c>
      <c r="C33" s="122" t="s">
        <v>38</v>
      </c>
      <c r="D33" s="122">
        <v>8</v>
      </c>
    </row>
    <row r="34" spans="1:4" x14ac:dyDescent="0.25">
      <c r="A34" s="123" t="str">
        <f t="shared" si="0"/>
        <v>Саратов44809</v>
      </c>
      <c r="B34" s="121">
        <v>44809</v>
      </c>
      <c r="C34" s="122" t="s">
        <v>10</v>
      </c>
      <c r="D34" s="122">
        <v>2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5</v>
      </c>
    </row>
    <row r="36" spans="1:4" x14ac:dyDescent="0.25">
      <c r="A36" s="123" t="str">
        <f t="shared" si="0"/>
        <v>Ярославль44809</v>
      </c>
      <c r="B36" s="121">
        <v>44809</v>
      </c>
      <c r="C36" s="122" t="s">
        <v>14</v>
      </c>
      <c r="D36" s="122">
        <v>2</v>
      </c>
    </row>
    <row r="37" spans="1:4" x14ac:dyDescent="0.25">
      <c r="A37" s="123" t="str">
        <f t="shared" si="0"/>
        <v>Уфа44809</v>
      </c>
      <c r="B37" s="121">
        <v>44809</v>
      </c>
      <c r="C37" s="122" t="s">
        <v>13</v>
      </c>
      <c r="D37" s="122">
        <v>4</v>
      </c>
    </row>
    <row r="38" spans="1:4" x14ac:dyDescent="0.25">
      <c r="A38" s="123" t="str">
        <f t="shared" si="0"/>
        <v>Тула44809</v>
      </c>
      <c r="B38" s="121">
        <v>44809</v>
      </c>
      <c r="C38" s="122" t="s">
        <v>12</v>
      </c>
      <c r="D38" s="122">
        <v>7</v>
      </c>
    </row>
    <row r="39" spans="1:4" x14ac:dyDescent="0.25">
      <c r="A39" s="123" t="str">
        <f t="shared" si="0"/>
        <v>Москва44809</v>
      </c>
      <c r="B39" s="121">
        <v>44809</v>
      </c>
      <c r="C39" s="122" t="s">
        <v>8</v>
      </c>
      <c r="D39" s="122">
        <v>6</v>
      </c>
    </row>
    <row r="40" spans="1:4" x14ac:dyDescent="0.25">
      <c r="A40" s="123" t="str">
        <f t="shared" si="0"/>
        <v>Наб.Челны44809</v>
      </c>
      <c r="B40" s="121">
        <v>44809</v>
      </c>
      <c r="C40" s="122" t="s">
        <v>37</v>
      </c>
      <c r="D40" s="122">
        <v>2</v>
      </c>
    </row>
    <row r="41" spans="1:4" x14ac:dyDescent="0.25">
      <c r="A41" s="123" t="str">
        <f t="shared" si="0"/>
        <v>Самара44809</v>
      </c>
      <c r="B41" s="121">
        <v>44809</v>
      </c>
      <c r="C41" s="122" t="s">
        <v>9</v>
      </c>
      <c r="D41" s="122">
        <v>2</v>
      </c>
    </row>
    <row r="42" spans="1:4" x14ac:dyDescent="0.25">
      <c r="A42" s="123" t="str">
        <f t="shared" si="0"/>
        <v>Тольятти44809</v>
      </c>
      <c r="B42" s="121">
        <v>44809</v>
      </c>
      <c r="C42" s="122" t="s">
        <v>11</v>
      </c>
      <c r="D42" s="122">
        <v>0</v>
      </c>
    </row>
    <row r="43" spans="1:4" x14ac:dyDescent="0.25">
      <c r="A43" s="123" t="str">
        <f t="shared" si="0"/>
        <v>Старый Оскол44809</v>
      </c>
      <c r="B43" s="121">
        <v>44809</v>
      </c>
      <c r="C43" s="122" t="s">
        <v>39</v>
      </c>
      <c r="D43" s="122">
        <v>0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12</v>
      </c>
    </row>
    <row r="45" spans="1:4" x14ac:dyDescent="0.25">
      <c r="A45" s="123" t="str">
        <f t="shared" si="0"/>
        <v>Липецк44810</v>
      </c>
      <c r="B45" s="121">
        <v>44810</v>
      </c>
      <c r="C45" s="122" t="s">
        <v>7</v>
      </c>
      <c r="D45" s="122">
        <v>8</v>
      </c>
    </row>
    <row r="46" spans="1:4" x14ac:dyDescent="0.25">
      <c r="A46" s="123" t="str">
        <f t="shared" si="0"/>
        <v>Ярославль44810</v>
      </c>
      <c r="B46" s="121">
        <v>44810</v>
      </c>
      <c r="C46" s="122" t="s">
        <v>14</v>
      </c>
      <c r="D46" s="122">
        <v>2</v>
      </c>
    </row>
    <row r="47" spans="1:4" x14ac:dyDescent="0.25">
      <c r="A47" s="123" t="str">
        <f t="shared" si="0"/>
        <v>Воронеж44810</v>
      </c>
      <c r="B47" s="121">
        <v>44810</v>
      </c>
      <c r="C47" s="122" t="s">
        <v>5</v>
      </c>
      <c r="D47" s="122">
        <v>3</v>
      </c>
    </row>
    <row r="48" spans="1:4" x14ac:dyDescent="0.25">
      <c r="A48" s="123" t="str">
        <f t="shared" si="0"/>
        <v>Саратов44810</v>
      </c>
      <c r="B48" s="121">
        <v>44810</v>
      </c>
      <c r="C48" s="122" t="s">
        <v>10</v>
      </c>
      <c r="D48" s="122">
        <v>1</v>
      </c>
    </row>
    <row r="49" spans="1:4" x14ac:dyDescent="0.25">
      <c r="A49" s="123" t="str">
        <f t="shared" si="0"/>
        <v>Уфа44810</v>
      </c>
      <c r="B49" s="121">
        <v>44810</v>
      </c>
      <c r="C49" s="122" t="s">
        <v>13</v>
      </c>
      <c r="D49" s="122">
        <v>2</v>
      </c>
    </row>
    <row r="50" spans="1:4" x14ac:dyDescent="0.25">
      <c r="A50" s="123" t="str">
        <f t="shared" si="0"/>
        <v>Нижний Новгород44810</v>
      </c>
      <c r="B50" s="121">
        <v>44810</v>
      </c>
      <c r="C50" s="122" t="s">
        <v>38</v>
      </c>
      <c r="D50" s="122">
        <v>7</v>
      </c>
    </row>
    <row r="51" spans="1:4" x14ac:dyDescent="0.25">
      <c r="A51" s="123" t="str">
        <f t="shared" si="0"/>
        <v>Москва44810</v>
      </c>
      <c r="B51" s="121">
        <v>44810</v>
      </c>
      <c r="C51" s="122" t="s">
        <v>8</v>
      </c>
      <c r="D51" s="122">
        <v>5</v>
      </c>
    </row>
    <row r="52" spans="1:4" x14ac:dyDescent="0.25">
      <c r="A52" s="123" t="str">
        <f t="shared" si="0"/>
        <v>Наб.Челны44810</v>
      </c>
      <c r="B52" s="121">
        <v>44810</v>
      </c>
      <c r="C52" s="122" t="s">
        <v>37</v>
      </c>
      <c r="D52" s="122">
        <v>1</v>
      </c>
    </row>
    <row r="53" spans="1:4" x14ac:dyDescent="0.25">
      <c r="A53" s="123" t="str">
        <f t="shared" si="0"/>
        <v>Тула44810</v>
      </c>
      <c r="B53" s="121">
        <v>44810</v>
      </c>
      <c r="C53" s="122" t="s">
        <v>12</v>
      </c>
      <c r="D53" s="122">
        <v>5</v>
      </c>
    </row>
    <row r="54" spans="1:4" x14ac:dyDescent="0.25">
      <c r="A54" s="123" t="str">
        <f t="shared" si="0"/>
        <v>Самара44810</v>
      </c>
      <c r="B54" s="121">
        <v>44810</v>
      </c>
      <c r="C54" s="122" t="s">
        <v>9</v>
      </c>
      <c r="D54" s="122">
        <v>1</v>
      </c>
    </row>
    <row r="55" spans="1:4" x14ac:dyDescent="0.25">
      <c r="A55" s="123" t="str">
        <f t="shared" si="0"/>
        <v>Тольятти44810</v>
      </c>
      <c r="B55" s="121">
        <v>44810</v>
      </c>
      <c r="C55" s="122" t="s">
        <v>11</v>
      </c>
      <c r="D55" s="122">
        <v>0</v>
      </c>
    </row>
    <row r="56" spans="1:4" x14ac:dyDescent="0.25">
      <c r="A56" s="123" t="str">
        <f t="shared" si="0"/>
        <v>Старый Оскол44810</v>
      </c>
      <c r="B56" s="121">
        <v>44810</v>
      </c>
      <c r="C56" s="122" t="s">
        <v>39</v>
      </c>
      <c r="D56" s="122">
        <v>0</v>
      </c>
    </row>
    <row r="57" spans="1:4" x14ac:dyDescent="0.25">
      <c r="A57" s="123" t="str">
        <f t="shared" si="0"/>
        <v>Калининград44811</v>
      </c>
      <c r="B57" s="121">
        <v>44811</v>
      </c>
      <c r="C57" s="122" t="s">
        <v>6</v>
      </c>
      <c r="D57" s="122">
        <v>9</v>
      </c>
    </row>
    <row r="58" spans="1:4" x14ac:dyDescent="0.25">
      <c r="A58" s="123" t="str">
        <f t="shared" si="0"/>
        <v>Липецк44811</v>
      </c>
      <c r="B58" s="121">
        <v>44811</v>
      </c>
      <c r="C58" s="122" t="s">
        <v>7</v>
      </c>
      <c r="D58" s="122">
        <v>5</v>
      </c>
    </row>
    <row r="59" spans="1:4" x14ac:dyDescent="0.25">
      <c r="A59" s="123" t="str">
        <f t="shared" si="0"/>
        <v>Ярославль44811</v>
      </c>
      <c r="B59" s="121">
        <v>44811</v>
      </c>
      <c r="C59" s="122" t="s">
        <v>14</v>
      </c>
      <c r="D59" s="122">
        <v>1</v>
      </c>
    </row>
    <row r="60" spans="1:4" x14ac:dyDescent="0.25">
      <c r="A60" s="123" t="str">
        <f t="shared" si="0"/>
        <v>Нижний Новгород44811</v>
      </c>
      <c r="B60" s="121">
        <v>44811</v>
      </c>
      <c r="C60" s="122" t="s">
        <v>38</v>
      </c>
      <c r="D60" s="122">
        <v>6</v>
      </c>
    </row>
    <row r="61" spans="1:4" x14ac:dyDescent="0.25">
      <c r="A61" s="123" t="str">
        <f t="shared" si="0"/>
        <v>Воронеж44811</v>
      </c>
      <c r="B61" s="121">
        <v>44811</v>
      </c>
      <c r="C61" s="122" t="s">
        <v>5</v>
      </c>
      <c r="D61" s="122">
        <v>1</v>
      </c>
    </row>
    <row r="62" spans="1:4" x14ac:dyDescent="0.25">
      <c r="A62" s="123" t="str">
        <f t="shared" si="0"/>
        <v>Уфа44811</v>
      </c>
      <c r="B62" s="121">
        <v>44811</v>
      </c>
      <c r="C62" s="122" t="s">
        <v>13</v>
      </c>
      <c r="D62" s="122">
        <v>2</v>
      </c>
    </row>
    <row r="63" spans="1:4" x14ac:dyDescent="0.25">
      <c r="A63" s="123" t="str">
        <f t="shared" si="0"/>
        <v>Саратов44811</v>
      </c>
      <c r="B63" s="121">
        <v>44811</v>
      </c>
      <c r="C63" s="122" t="s">
        <v>10</v>
      </c>
      <c r="D63" s="122">
        <v>1</v>
      </c>
    </row>
    <row r="64" spans="1:4" x14ac:dyDescent="0.25">
      <c r="A64" s="123" t="str">
        <f t="shared" si="0"/>
        <v>Тула44811</v>
      </c>
      <c r="B64" s="121">
        <v>44811</v>
      </c>
      <c r="C64" s="122" t="s">
        <v>12</v>
      </c>
      <c r="D64" s="122">
        <v>3</v>
      </c>
    </row>
    <row r="65" spans="1:4" x14ac:dyDescent="0.25">
      <c r="A65" s="123" t="str">
        <f t="shared" si="0"/>
        <v>Москва44811</v>
      </c>
      <c r="B65" s="121">
        <v>44811</v>
      </c>
      <c r="C65" s="122" t="s">
        <v>8</v>
      </c>
      <c r="D65" s="122">
        <v>3</v>
      </c>
    </row>
    <row r="66" spans="1:4" x14ac:dyDescent="0.25">
      <c r="A66" s="123" t="str">
        <f t="shared" si="0"/>
        <v>Наб.Челны44811</v>
      </c>
      <c r="B66" s="121">
        <v>44811</v>
      </c>
      <c r="C66" s="122" t="s">
        <v>37</v>
      </c>
      <c r="D66" s="122">
        <v>1</v>
      </c>
    </row>
    <row r="67" spans="1:4" x14ac:dyDescent="0.25">
      <c r="A67" s="123" t="str">
        <f t="shared" ref="A67:A69" si="1">C67&amp;B67</f>
        <v>Самара44811</v>
      </c>
      <c r="B67" s="121">
        <v>44811</v>
      </c>
      <c r="C67" s="122" t="s">
        <v>9</v>
      </c>
      <c r="D67" s="122">
        <v>1</v>
      </c>
    </row>
    <row r="68" spans="1:4" x14ac:dyDescent="0.25">
      <c r="A68" s="123" t="str">
        <f t="shared" si="1"/>
        <v>Тольятти44811</v>
      </c>
      <c r="B68" s="121">
        <v>44811</v>
      </c>
      <c r="C68" s="122" t="s">
        <v>11</v>
      </c>
      <c r="D68" s="122">
        <v>0</v>
      </c>
    </row>
    <row r="69" spans="1:4" x14ac:dyDescent="0.25">
      <c r="A69" s="123" t="str">
        <f t="shared" si="1"/>
        <v>Старый Оскол44811</v>
      </c>
      <c r="B69" s="121">
        <v>44811</v>
      </c>
      <c r="C69" s="122" t="s">
        <v>39</v>
      </c>
      <c r="D69" s="1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</vt:i4>
      </vt:variant>
    </vt:vector>
  </HeadingPairs>
  <TitlesOfParts>
    <vt:vector size="14" baseType="lpstr">
      <vt:lpstr>Установочные</vt:lpstr>
      <vt:lpstr>Рейтинг</vt:lpstr>
      <vt:lpstr>Источник Рейтинг</vt:lpstr>
      <vt:lpstr>ФС</vt:lpstr>
      <vt:lpstr>Источник ФС</vt:lpstr>
      <vt:lpstr>ОП</vt:lpstr>
      <vt:lpstr>1.1. Операторы (1С, Все ТА)</vt:lpstr>
      <vt:lpstr>1.2. Операторы (1С, КУ)</vt:lpstr>
      <vt:lpstr>2. Техники (1С)</vt:lpstr>
      <vt:lpstr>3. % потерянной выручки (1С)</vt:lpstr>
      <vt:lpstr>4. Кол-во ТА (1С)</vt:lpstr>
      <vt:lpstr>5. ТА без связи (Вин)</vt:lpstr>
      <vt:lpstr>6. Простои (Вин)</vt:lpstr>
      <vt:lpstr>ОП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2022-09-08T06:08:22Z</dcterms:modified>
</cp:coreProperties>
</file>